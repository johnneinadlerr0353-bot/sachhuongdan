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1_NhatKyTimTaiLieu" sheetId="2" state="visible" r:id="rId2"/>
    <sheet xmlns:r="http://schemas.openxmlformats.org/officeDocument/2006/relationships" name="2_MaTranTaiLieu" sheetId="3" state="visible" r:id="rId3"/>
    <sheet xmlns:r="http://schemas.openxmlformats.org/officeDocument/2006/relationships" name="3_SoCapThuCap" sheetId="4" state="visible" r:id="rId4"/>
    <sheet xmlns:r="http://schemas.openxmlformats.org/officeDocument/2006/relationships" name="4_KeHoachMau" sheetId="5" state="visible" r:id="rId5"/>
    <sheet xmlns:r="http://schemas.openxmlformats.org/officeDocument/2006/relationships" name="5_LichTiepXuc" sheetId="6" state="visible" r:id="rId6"/>
    <sheet xmlns:r="http://schemas.openxmlformats.org/officeDocument/2006/relationships" name="6_DuLieuThoGanCo" sheetId="7" state="visible" r:id="rId7"/>
    <sheet xmlns:r="http://schemas.openxmlformats.org/officeDocument/2006/relationships" name="7_NhatKyThuThap" sheetId="8" state="visible" r:id="rId8"/>
    <sheet xmlns:r="http://schemas.openxmlformats.org/officeDocument/2006/relationships" name="8_SomMuon" sheetId="9" state="visible" r:id="rId9"/>
    <sheet xmlns:r="http://schemas.openxmlformats.org/officeDocument/2006/relationships" name="9_SaiLechPPChung" sheetId="10" state="visible" r:id="rId10"/>
    <sheet xmlns:r="http://schemas.openxmlformats.org/officeDocument/2006/relationships" name="10_PhongVanBaoHoa" sheetId="11" state="visible" r:id="rId11"/>
    <sheet xmlns:r="http://schemas.openxmlformats.org/officeDocument/2006/relationships" name="11_MaHoaPhongVan" sheetId="12" state="visible" r:id="rId12"/>
    <sheet xmlns:r="http://schemas.openxmlformats.org/officeDocument/2006/relationships" name="12_NangChuanThacSi" sheetId="13" state="visible" r:id="rId13"/>
    <sheet xmlns:r="http://schemas.openxmlformats.org/officeDocument/2006/relationships" name="GiaiThichCongThuc" sheetId="14" state="visible" r:id="rId14"/>
  </sheets>
  <definedNames/>
  <calcPr calcId="124519" fullCalcOnLoad="1"/>
</workbook>
</file>

<file path=xl/styles.xml><?xml version="1.0" encoding="utf-8"?>
<styleSheet xmlns="http://schemas.openxmlformats.org/spreadsheetml/2006/main">
  <numFmts count="8">
    <numFmt numFmtId="164" formatCode="0.##"/>
    <numFmt numFmtId="165" formatCode="0.0%"/>
    <numFmt numFmtId="166" formatCode="yyyy-mm-dd"/>
    <numFmt numFmtId="167" formatCode="dd/mm/yyyy"/>
    <numFmt numFmtId="168" formatCode="yyyy-mm-dd h:mm:ss"/>
    <numFmt numFmtId="169" formatCode="dd/mm/yyyy hh:mm"/>
    <numFmt numFmtId="170" formatCode="dd/mm"/>
    <numFmt numFmtId="171" formatCode="0.000"/>
  </numFmts>
  <fonts count="10">
    <font>
      <name val="Calibri"/>
      <family val="2"/>
      <color theme="1"/>
      <sz val="11"/>
      <scheme val="minor"/>
    </font>
    <font>
      <name val="Times New Roman"/>
      <b val="1"/>
      <sz val="12"/>
    </font>
    <font>
      <name val="Times New Roman"/>
      <sz val="11"/>
    </font>
    <font>
      <name val="Times New Roman"/>
      <i val="1"/>
      <sz val="11"/>
    </font>
    <font>
      <name val="Times New Roman"/>
      <b val="1"/>
      <sz val="11"/>
    </font>
    <font>
      <name val="Times New Roman"/>
      <b val="1"/>
    </font>
    <font>
      <name val="Times New Roman"/>
      <b val="1"/>
      <sz val="10"/>
    </font>
    <font>
      <name val="Times New Roman"/>
      <sz val="10"/>
    </font>
    <font>
      <name val="Times New Roman"/>
      <i val="1"/>
      <sz val="9"/>
    </font>
    <font>
      <name val="Times New Roman"/>
      <i val="1"/>
    </font>
  </fonts>
  <fills count="5">
    <fill>
      <patternFill/>
    </fill>
    <fill>
      <patternFill patternType="gray125"/>
    </fill>
    <fill>
      <patternFill patternType="solid">
        <fgColor rgb="00E7E6E6"/>
      </patternFill>
    </fill>
    <fill>
      <patternFill patternType="solid">
        <fgColor rgb="00FFF2CC"/>
      </patternFill>
    </fill>
    <fill>
      <patternFill patternType="solid">
        <fgColor rgb="00F8CBAD"/>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5" fillId="0" borderId="0" pivotButton="0" quotePrefix="0" xfId="0"/>
    <xf numFmtId="0" fontId="5" fillId="4" borderId="1" pivotButton="0" quotePrefix="0" xfId="0"/>
    <xf numFmtId="1" fontId="2" fillId="4" borderId="1" applyAlignment="1" pivotButton="0" quotePrefix="0" xfId="0">
      <alignment vertical="top" wrapText="1"/>
    </xf>
    <xf numFmtId="0" fontId="4" fillId="0" borderId="0" pivotButton="0" quotePrefix="0" xfId="0"/>
    <xf numFmtId="164" fontId="2" fillId="3" borderId="1" applyAlignment="1" pivotButton="0" quotePrefix="0" xfId="0">
      <alignment vertical="top" wrapText="1"/>
    </xf>
    <xf numFmtId="164" fontId="2" fillId="0" borderId="1" applyAlignment="1" pivotButton="0" quotePrefix="0" xfId="0">
      <alignment vertical="top" wrapText="1"/>
    </xf>
    <xf numFmtId="9" fontId="2" fillId="3" borderId="1" applyAlignment="1" pivotButton="0" quotePrefix="0" xfId="0">
      <alignment vertical="top" wrapText="1"/>
    </xf>
    <xf numFmtId="164" fontId="2" fillId="4" borderId="1" applyAlignment="1" pivotButton="0" quotePrefix="0" xfId="0">
      <alignment vertical="top" wrapText="1"/>
    </xf>
    <xf numFmtId="165" fontId="2" fillId="0" borderId="1" applyAlignment="1" pivotButton="0" quotePrefix="0" xfId="0">
      <alignment vertical="top" wrapText="1"/>
    </xf>
    <xf numFmtId="0" fontId="2" fillId="4" borderId="1" applyAlignment="1" pivotButton="0" quotePrefix="0" xfId="0">
      <alignment vertical="top" wrapText="1"/>
    </xf>
    <xf numFmtId="167" fontId="2" fillId="0" borderId="1" applyAlignment="1" pivotButton="0" quotePrefix="0" xfId="0">
      <alignment vertical="top" wrapText="1"/>
    </xf>
    <xf numFmtId="0" fontId="6" fillId="2" borderId="1" applyAlignment="1" pivotButton="0" quotePrefix="0" xfId="0">
      <alignment wrapText="1"/>
    </xf>
    <xf numFmtId="169" fontId="7" fillId="0" borderId="0" pivotButton="0" quotePrefix="0" xfId="0"/>
    <xf numFmtId="0" fontId="7" fillId="0" borderId="0" pivotButton="0" quotePrefix="0" xfId="0"/>
    <xf numFmtId="167" fontId="7" fillId="0" borderId="0" pivotButton="0" quotePrefix="0" xfId="0"/>
    <xf numFmtId="2" fontId="7" fillId="0" borderId="0" pivotButton="0" quotePrefix="0" xfId="0"/>
    <xf numFmtId="170" fontId="2" fillId="0" borderId="1" applyAlignment="1" pivotButton="0" quotePrefix="0" xfId="0">
      <alignment vertical="top" wrapText="1"/>
    </xf>
    <xf numFmtId="165" fontId="2" fillId="4" borderId="1" applyAlignment="1" pivotButton="0" quotePrefix="0" xfId="0">
      <alignment vertical="top" wrapText="1"/>
    </xf>
    <xf numFmtId="1" fontId="2" fillId="0" borderId="1" applyAlignment="1" pivotButton="0" quotePrefix="0" xfId="0">
      <alignment vertical="top" wrapText="1"/>
    </xf>
    <xf numFmtId="171" fontId="2" fillId="0" borderId="1" applyAlignment="1" pivotButton="0" quotePrefix="0" xfId="0">
      <alignment vertical="top" wrapText="1"/>
    </xf>
    <xf numFmtId="171" fontId="2" fillId="4" borderId="1" applyAlignment="1" pivotButton="0" quotePrefix="0" xfId="0">
      <alignment vertical="top" wrapText="1"/>
    </xf>
    <xf numFmtId="2" fontId="2" fillId="4" borderId="1" applyAlignment="1" pivotButton="0" quotePrefix="0" xfId="0">
      <alignment vertical="top" wrapText="1"/>
    </xf>
    <xf numFmtId="2" fontId="2" fillId="3" borderId="1" applyAlignment="1" pivotButton="0" quotePrefix="0" xfId="0">
      <alignment vertical="top" wrapText="1"/>
    </xf>
    <xf numFmtId="0" fontId="5" fillId="2" borderId="1" pivotButton="0" quotePrefix="0" xfId="0"/>
    <xf numFmtId="0" fontId="9" fillId="0" borderId="0" pivotButton="0" quotePrefix="0" xfId="0"/>
    <xf numFmtId="0" fontId="8" fillId="0" borderId="1" applyAlignment="1" pivotButton="0" quotePrefix="0" xfId="0">
      <alignment textRotation="90" wrapText="1"/>
    </xf>
    <xf numFmtId="0" fontId="7" fillId="0" borderId="1" applyAlignment="1" pivotButton="0" quotePrefix="0" xfId="0">
      <alignment horizontal="center"/>
    </xf>
    <xf numFmtId="0" fontId="6" fillId="0" borderId="0" pivotButton="0" quotePrefix="0" xfId="0"/>
    <xf numFmtId="0" fontId="7" fillId="4" borderId="1" pivotButton="0" quotePrefix="0" xfId="0"/>
    <xf numFmtId="9" fontId="7" fillId="4"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FILE THỰC HÀNH: TÌM DỮ LIỆU, ĐI KHẢO SÁT VÀ KIỂM TRA ĐIỂM MỚI (ĐỀ TÀI NGÂN HÀNG X VÀ TRƯỜNG TIỂU HỌC Y)</t>
        </is>
      </c>
    </row>
    <row r="2">
      <c r="A2" s="2" t="inlineStr">
        <is>
          <t>Đây là dữ liệu giả định dùng để học, không phải số liệu thật. Sheet 6 dùng lại đúng 165 phiếu thô của file 2.Chapter_2_and_Chapter_3_Practice.xlsx nên mọi con số khớp với sách (200 người được mời, 165 phiếu thu về, 15 phiếu bị loại, 150 phiếu hợp lệ).</t>
        </is>
      </c>
    </row>
    <row r="3">
      <c r="A3" s="2" t="inlineStr">
        <is>
          <t>Dùng kèm sách "Hướng dẫn viết chuyên đề và khóa luận tốt nghiệp": Mục 2.1.3A, 3.4.1A, 3.5.1A, 3.5.1B và 3.5.1C (phần bổ sung thực hành). Các bảng trong sách đánh số BS1 đến BS13 để không làm thay đổi số bảng cũ.</t>
        </is>
      </c>
    </row>
    <row r="4">
      <c r="A4" s="2" t="inlineStr"/>
    </row>
    <row r="5">
      <c r="A5" s="2" t="inlineStr">
        <is>
          <t>Thứ tự các sheet đi theo đúng thứ tự làm việc:</t>
        </is>
      </c>
    </row>
    <row r="6">
      <c r="A6" s="2" t="inlineStr">
        <is>
          <t>1_NhatKyTimTaiLieu: ghi mỗi lần tìm tài liệu (nguồn, chuỗi tìm kiếm, số kết quả, số bài giữ lại). Bảng BS1 của sách.</t>
        </is>
      </c>
    </row>
    <row r="7">
      <c r="A7" s="2" t="inlineStr">
        <is>
          <t>2_MaTranTaiLieu: ma trận 21 nghiên cứu (giả định) và bảng đếm khoảng trống bằng COUNTIFS. Bảng BS2 của sách.</t>
        </is>
      </c>
    </row>
    <row r="8">
      <c r="A8" s="2" t="inlineStr">
        <is>
          <t>3_SoCapThuCap: phân biệt dữ liệu sơ cấp và thứ cấp, chuỗi tư duy sáu bậc, nơi tìm dữ liệu thứ cấp. Bảng BS4 đến BS6.</t>
        </is>
      </c>
    </row>
    <row r="9">
      <c r="A9" s="2" t="inlineStr">
        <is>
          <t>4_KeHoachMau: từ cỡ mẫu tối thiểu đến số người cần mời; thử nhiều tình huống tỷ lệ phản hồi. Bảng BS8.</t>
        </is>
      </c>
    </row>
    <row r="10">
      <c r="A10" s="2" t="inlineStr">
        <is>
          <t>5_LichTiepXuc: lịch báo trước, gửi, nhắc lại và đóng khảo sát của Ngân hàng X. Bảng BS9.</t>
        </is>
      </c>
    </row>
    <row r="11">
      <c r="A11" s="2" t="inlineStr">
        <is>
          <t>6_DuLieuThoGanCo: 165 phiếu thô kèm các cột công thức gắn cờ: ngày, đợt trả lời, số ô trống, phiếu trùng, độ lệch chuẩn của dòng, kết luận giữ hay loại.</t>
        </is>
      </c>
    </row>
    <row r="12">
      <c r="A12" s="2" t="inlineStr">
        <is>
          <t>7_NhatKyThuThap: nhật ký từng ngày; số phiếu nhận và số phiếu lỗi được đếm tự động từ sheet 6. Bảng BS10.</t>
        </is>
      </c>
    </row>
    <row r="13">
      <c r="A13" s="2" t="inlineStr">
        <is>
          <t>8_SomMuon: kiểm tra sai lệch do không phản hồi bằng cách so sánh nhóm trả lời sớm và nhóm trả lời muộn (T.TEST). Bảng BS13.</t>
        </is>
      </c>
    </row>
    <row r="14">
      <c r="A14" s="2" t="inlineStr">
        <is>
          <t>9_SaiLechPPChung: kiểm tra trả lời cẩu thả và sai lệch phương pháp chung. Bảng BS12.</t>
        </is>
      </c>
    </row>
    <row r="15">
      <c r="A15" s="2" t="inlineStr">
        <is>
          <t>10_PhongVanBaoHoa: nhật ký 10 buổi phỏng vấn phụ huynh Trường Tiểu học Y; đếm mã mới sau mỗi buổi để biết khi nào dừng. Bảng BS11.</t>
        </is>
      </c>
    </row>
    <row r="16">
      <c r="A16" s="2" t="inlineStr">
        <is>
          <t>11_MaHoaPhongVan: ma trận người được phỏng vấn nhân mã; tự tìm buổi xuất hiện đầu tiên của mỗi mã.</t>
        </is>
      </c>
    </row>
    <row r="17">
      <c r="A17" s="2" t="inlineStr">
        <is>
          <t>12_NangChuanThacSi: bốn mức điểm mới và sáu điểm nâng chất lượng; bảng tự chấm có công thức. Bảng BS3.</t>
        </is>
      </c>
    </row>
    <row r="18">
      <c r="A18" s="2" t="inlineStr">
        <is>
          <t>GiaiThichCongThuc: từng công thức làm gì, vì sao dùng, cách đọc kết quả.</t>
        </is>
      </c>
    </row>
    <row r="19">
      <c r="A19" s="2" t="inlineStr"/>
    </row>
    <row r="20">
      <c r="A20" s="2" t="inlineStr">
        <is>
          <t>Ô nền xám là tiêu đề. Ô nền vàng là ô sinh viên thay bằng số liệu của mình. Ô nền cam là kết quả cần đọc. Mọi ô số trong sheet 2, 4, 7, 8, 10, 11, 12 là công thức: bấm vào ô để xem công thức.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7" customWidth="1" min="1" max="1"/>
    <col width="11" customWidth="1" min="2" max="2"/>
    <col width="22" customWidth="1" min="3" max="3"/>
    <col width="46" customWidth="1" min="4" max="4"/>
    <col width="22" customWidth="1" min="5" max="5"/>
    <col width="11" customWidth="1" min="6" max="6"/>
    <col width="12" customWidth="1" min="7" max="7"/>
    <col width="12" customWidth="1" min="8" max="8"/>
    <col width="34" customWidth="1" min="9" max="9"/>
  </cols>
  <sheetData>
    <row r="1">
      <c r="A1" s="3" t="inlineStr">
        <is>
          <t>NHẬT KÝ TÌM TÀI LIỆU (ví dụ đề tài Ngân hàng X, số liệu giả định)</t>
        </is>
      </c>
    </row>
    <row r="2" ht="60" customHeight="1">
      <c r="A2" s="4" t="inlineStr">
        <is>
          <t>Mỗi lần tìm là một dòng. Cột F là số bản ghi đã xem (Google Scholar trả về hàng nghìn kết quả nên chỉ xem 100 kết quả đầu theo mức liên quan). Cột G: số bài giữ lại sau khi đọc tên và tóm tắt. Cột H: số bài giữ lại sau khi đọc toàn văn, đã loại bài trùng với các dòng trên. Dừng lăn cầu tuyết khi một vòng không thêm bài mới (Wohlin, 2014).</t>
        </is>
      </c>
    </row>
    <row r="3">
      <c r="A3" s="5" t="inlineStr">
        <is>
          <t>Vòng</t>
        </is>
      </c>
      <c r="B3" s="5" t="inlineStr">
        <is>
          <t>Ngày</t>
        </is>
      </c>
      <c r="C3" s="5" t="inlineStr">
        <is>
          <t>Nguồn</t>
        </is>
      </c>
      <c r="D3" s="5" t="inlineStr">
        <is>
          <t>Chuỗi tìm kiếm hoặc cách tìm</t>
        </is>
      </c>
      <c r="E3" s="5" t="inlineStr">
        <is>
          <t>Bộ lọc</t>
        </is>
      </c>
      <c r="F3" s="5" t="inlineStr">
        <is>
          <t>Số bản ghi đã xem</t>
        </is>
      </c>
      <c r="G3" s="5" t="inlineStr">
        <is>
          <t>Giữ sau tên và tóm tắt</t>
        </is>
      </c>
      <c r="H3" s="5" t="inlineStr">
        <is>
          <t>Giữ sau toàn văn</t>
        </is>
      </c>
      <c r="I3" s="5" t="inlineStr">
        <is>
          <t>Ghi chú</t>
        </is>
      </c>
    </row>
    <row r="4">
      <c r="A4" s="6" t="n">
        <v>1</v>
      </c>
      <c r="B4" s="7" t="inlineStr">
        <is>
          <t>[ngày]</t>
        </is>
      </c>
      <c r="C4" s="6" t="inlineStr">
        <is>
          <t>Google Scholar</t>
        </is>
      </c>
      <c r="D4" s="6" t="inlineStr">
        <is>
          <t>("mobile banking" OR "digital banking") AND (intention OR adoption) AND Vietnam</t>
        </is>
      </c>
      <c r="E4" s="6" t="inlineStr">
        <is>
          <t>Từ 2015 đến [năm]; 100 kết quả đầu</t>
        </is>
      </c>
      <c r="F4" s="6" t="n">
        <v>100</v>
      </c>
      <c r="G4" s="6" t="n">
        <v>19</v>
      </c>
      <c r="H4" s="6" t="n">
        <v>7</v>
      </c>
      <c r="I4" s="6" t="inlineStr">
        <is>
          <t>Ưu tiên bài trên tạp chí có bình duyệt</t>
        </is>
      </c>
    </row>
    <row r="5">
      <c r="A5" s="6" t="n">
        <v>1</v>
      </c>
      <c r="B5" s="7" t="inlineStr">
        <is>
          <t>[ngày]</t>
        </is>
      </c>
      <c r="C5" s="6" t="inlineStr">
        <is>
          <t>ScienceDirect (qua thư viện)</t>
        </is>
      </c>
      <c r="D5" s="6" t="inlineStr">
        <is>
          <t>Như trên</t>
        </is>
      </c>
      <c r="E5" s="6" t="inlineStr">
        <is>
          <t>Research articles; từ 2015</t>
        </is>
      </c>
      <c r="F5" s="6" t="n">
        <v>61</v>
      </c>
      <c r="G5" s="6" t="n">
        <v>12</v>
      </c>
      <c r="H5" s="6" t="n">
        <v>4</v>
      </c>
      <c r="I5" s="6" t="inlineStr">
        <is>
          <t>Loại 3 bài trùng với dòng 1</t>
        </is>
      </c>
    </row>
    <row r="6">
      <c r="A6" s="6" t="n">
        <v>1</v>
      </c>
      <c r="B6" s="7" t="inlineStr">
        <is>
          <t>[ngày]</t>
        </is>
      </c>
      <c r="C6" s="6" t="inlineStr">
        <is>
          <t>Tạp chí khoa học trong nước</t>
        </is>
      </c>
      <c r="D6" s="6" t="inlineStr">
        <is>
          <t>"ngân hàng số" AND ("ý định" OR "chấp nhận")</t>
        </is>
      </c>
      <c r="E6" s="6" t="inlineStr">
        <is>
          <t>Từ 2018</t>
        </is>
      </c>
      <c r="F6" s="6" t="n">
        <v>34</v>
      </c>
      <c r="G6" s="6" t="n">
        <v>8</v>
      </c>
      <c r="H6" s="6" t="n">
        <v>3</v>
      </c>
      <c r="I6" s="6" t="inlineStr">
        <is>
          <t>Đọc kỹ thang đo đã Việt hóa</t>
        </is>
      </c>
    </row>
    <row r="7">
      <c r="A7" s="6" t="n">
        <v>2</v>
      </c>
      <c r="B7" s="7" t="inlineStr">
        <is>
          <t>[ngày]</t>
        </is>
      </c>
      <c r="C7" s="6" t="inlineStr">
        <is>
          <t>Lần ngược (backward)</t>
        </is>
      </c>
      <c r="D7" s="6" t="inlineStr">
        <is>
          <t>Danh mục tài liệu tham khảo của 5 bài chính</t>
        </is>
      </c>
      <c r="E7" s="6" t="inlineStr">
        <is>
          <t>Chỉ giữ bài đúng chủ đề</t>
        </is>
      </c>
      <c r="F7" s="6" t="n">
        <v>187</v>
      </c>
      <c r="G7" s="6" t="n">
        <v>11</v>
      </c>
      <c r="H7" s="6" t="n">
        <v>4</v>
      </c>
      <c r="I7" s="6" t="inlineStr">
        <is>
          <t>Tìm ra 2 bài gốc của thang đo niềm tin</t>
        </is>
      </c>
    </row>
    <row r="8">
      <c r="A8" s="6" t="n">
        <v>2</v>
      </c>
      <c r="B8" s="7" t="inlineStr">
        <is>
          <t>[ngày]</t>
        </is>
      </c>
      <c r="C8" s="6" t="inlineStr">
        <is>
          <t>Lần xuôi (forward)</t>
        </is>
      </c>
      <c r="D8" s="6" t="inlineStr">
        <is>
          <t>Nút "Cited by" của 5 bài chính trên Google Scholar</t>
        </is>
      </c>
      <c r="E8" s="6" t="inlineStr">
        <is>
          <t>Từ 2020</t>
        </is>
      </c>
      <c r="F8" s="6" t="n">
        <v>142</v>
      </c>
      <c r="G8" s="6" t="n">
        <v>9</v>
      </c>
      <c r="H8" s="6" t="n">
        <v>3</v>
      </c>
      <c r="I8" s="6" t="inlineStr">
        <is>
          <t>Tìm ra bài mới nhất về khách hàng ngoài thành phố lớn</t>
        </is>
      </c>
    </row>
    <row r="9">
      <c r="A9" s="6" t="n">
        <v>3</v>
      </c>
      <c r="B9" s="7" t="inlineStr">
        <is>
          <t>[ngày]</t>
        </is>
      </c>
      <c r="C9" s="6" t="inlineStr">
        <is>
          <t>Lần ngược và lần xuôi</t>
        </is>
      </c>
      <c r="D9" s="6" t="inlineStr">
        <is>
          <t>Từ 7 bài mới của vòng 2</t>
        </is>
      </c>
      <c r="E9" s="6" t="inlineStr">
        <is>
          <t>Như trên</t>
        </is>
      </c>
      <c r="F9" s="6" t="n">
        <v>96</v>
      </c>
      <c r="G9" s="6" t="n">
        <v>4</v>
      </c>
      <c r="H9" s="6" t="n">
        <v>0</v>
      </c>
      <c r="I9" s="6" t="inlineStr">
        <is>
          <t>Không thêm bài mới: dừng tìm</t>
        </is>
      </c>
    </row>
    <row r="10">
      <c r="E10" s="8" t="inlineStr">
        <is>
          <t>Tổng</t>
        </is>
      </c>
      <c r="F10" s="9">
        <f>SUM(F4:F9)</f>
        <v/>
      </c>
      <c r="G10" s="9">
        <f>SUM(G4:G9)</f>
        <v/>
      </c>
      <c r="H10" s="9">
        <f>SUM(H4:H9)</f>
        <v/>
      </c>
    </row>
    <row r="12" ht="45" customHeight="1">
      <c r="A12" s="4" t="inlineStr">
        <is>
          <t>Câu viết vào khóa luận lấy số từ dòng Tổng: "Tác giả xem [F] bản ghi, giữ [G] bài sau khi đọc tên và tóm tắt và giữ [H] bài sau khi đọc toàn văn." Với số liệu trên: 620 bản ghi, 63 bài và 21 bài.</t>
        </is>
      </c>
    </row>
  </sheetData>
  <mergeCells count="2">
    <mergeCell ref="A12:I12"/>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6" customWidth="1" min="1" max="1"/>
    <col width="14" customWidth="1" min="2" max="2"/>
    <col width="18" customWidth="1" min="3" max="3"/>
    <col width="16" customWidth="1" min="4" max="4"/>
    <col width="6" customWidth="1" min="5" max="5"/>
    <col width="6" customWidth="1" min="6" max="6"/>
    <col width="6" customWidth="1" min="7" max="7"/>
    <col width="6" customWidth="1" min="8" max="8"/>
    <col width="16" customWidth="1" min="9" max="9"/>
    <col width="12" customWidth="1" min="10" max="10"/>
    <col width="14" customWidth="1" min="11" max="11"/>
  </cols>
  <sheetData>
    <row r="1">
      <c r="A1" s="3" t="inlineStr">
        <is>
          <t>MA TRẬN TÀI LIỆU VÀ BẢNG ĐẾM KHOẢNG TRỐNG (21 nghiên cứu giả định, không phải tài liệu thật)</t>
        </is>
      </c>
    </row>
    <row r="2" ht="45" customHeight="1">
      <c r="A2" s="4" t="inlineStr">
        <is>
          <t>Mỗi hàng là một nghiên cứu đã giữ lại ở sheet 1. Cột E đến H: 1 = nghiên cứu có xét biến đó; 0 = không xét. Cột I: kết quả của sự dễ sử dụng (SD) nếu nghiên cứu có xét. Khi làm thật, cột A ghi tên tác giả và năm.</t>
        </is>
      </c>
    </row>
    <row r="3">
      <c r="A3" s="5" t="inlineStr">
        <is>
          <t>Mã</t>
        </is>
      </c>
      <c r="B3" s="5" t="inlineStr">
        <is>
          <t>Bối cảnh</t>
        </is>
      </c>
      <c r="C3" s="5" t="inlineStr">
        <is>
          <t>Lý thuyết nền</t>
        </is>
      </c>
      <c r="D3" s="5" t="inlineStr">
        <is>
          <t>Đối tượng</t>
        </is>
      </c>
      <c r="E3" s="5" t="inlineStr">
        <is>
          <t>HI</t>
        </is>
      </c>
      <c r="F3" s="5" t="inlineStr">
        <is>
          <t>SD</t>
        </is>
      </c>
      <c r="G3" s="5" t="inlineStr">
        <is>
          <t>NT</t>
        </is>
      </c>
      <c r="H3" s="5" t="inlineStr">
        <is>
          <t>XH</t>
        </is>
      </c>
      <c r="I3" s="5" t="inlineStr">
        <is>
          <t>Kết quả SD</t>
        </is>
      </c>
      <c r="J3" s="5" t="inlineStr">
        <is>
          <t>Phương pháp</t>
        </is>
      </c>
      <c r="K3" s="5" t="inlineStr">
        <is>
          <t>Đơn vị khảo sát</t>
        </is>
      </c>
    </row>
    <row r="4">
      <c r="A4" s="6" t="inlineStr">
        <is>
          <t>NC01</t>
        </is>
      </c>
      <c r="B4" s="6" t="inlineStr">
        <is>
          <t>TP lớn</t>
        </is>
      </c>
      <c r="C4" s="6" t="inlineStr">
        <is>
          <t>TAM + UTAUT</t>
        </is>
      </c>
      <c r="D4" s="6" t="inlineStr">
        <is>
          <t>Sinh viên</t>
        </is>
      </c>
      <c r="E4" s="6" t="n">
        <v>1</v>
      </c>
      <c r="F4" s="6" t="n">
        <v>1</v>
      </c>
      <c r="G4" s="6" t="n">
        <v>1</v>
      </c>
      <c r="H4" s="6" t="n">
        <v>1</v>
      </c>
      <c r="I4" s="6" t="inlineStr">
        <is>
          <t>Có ý nghĩa</t>
        </is>
      </c>
      <c r="J4" s="6" t="inlineStr">
        <is>
          <t>PLS-SEM</t>
        </is>
      </c>
      <c r="K4" s="6" t="inlineStr">
        <is>
          <t>Ngân hàng khác</t>
        </is>
      </c>
    </row>
    <row r="5">
      <c r="A5" s="6" t="inlineStr">
        <is>
          <t>NC02</t>
        </is>
      </c>
      <c r="B5" s="6" t="inlineStr">
        <is>
          <t>TP lớn</t>
        </is>
      </c>
      <c r="C5" s="6" t="inlineStr">
        <is>
          <t>TAM</t>
        </is>
      </c>
      <c r="D5" s="6" t="inlineStr">
        <is>
          <t>Khách hàng cá nhân</t>
        </is>
      </c>
      <c r="E5" s="6" t="n">
        <v>1</v>
      </c>
      <c r="F5" s="6" t="n">
        <v>1</v>
      </c>
      <c r="G5" s="6" t="n">
        <v>1</v>
      </c>
      <c r="H5" s="6" t="n">
        <v>1</v>
      </c>
      <c r="I5" s="6" t="inlineStr">
        <is>
          <t>Không có ý nghĩa</t>
        </is>
      </c>
      <c r="J5" s="6" t="inlineStr">
        <is>
          <t>Hồi quy</t>
        </is>
      </c>
      <c r="K5" s="6" t="inlineStr">
        <is>
          <t>Ngân hàng khác</t>
        </is>
      </c>
    </row>
    <row r="6">
      <c r="A6" s="6" t="inlineStr">
        <is>
          <t>NC03</t>
        </is>
      </c>
      <c r="B6" s="6" t="inlineStr">
        <is>
          <t>TP lớn</t>
        </is>
      </c>
      <c r="C6" s="6" t="inlineStr">
        <is>
          <t>UTAUT</t>
        </is>
      </c>
      <c r="D6" s="6" t="inlineStr">
        <is>
          <t>Khách hàng cá nhân</t>
        </is>
      </c>
      <c r="E6" s="6" t="n">
        <v>1</v>
      </c>
      <c r="F6" s="6" t="n">
        <v>0</v>
      </c>
      <c r="G6" s="6" t="n">
        <v>1</v>
      </c>
      <c r="H6" s="6" t="n">
        <v>1</v>
      </c>
      <c r="I6" s="6" t="inlineStr"/>
      <c r="J6" s="6" t="inlineStr">
        <is>
          <t>SEM</t>
        </is>
      </c>
      <c r="K6" s="6" t="inlineStr">
        <is>
          <t>Ngân hàng khác</t>
        </is>
      </c>
    </row>
    <row r="7">
      <c r="A7" s="6" t="inlineStr">
        <is>
          <t>NC04</t>
        </is>
      </c>
      <c r="B7" s="6" t="inlineStr">
        <is>
          <t>TP lớn</t>
        </is>
      </c>
      <c r="C7" s="6" t="inlineStr">
        <is>
          <t>TAM + TPB</t>
        </is>
      </c>
      <c r="D7" s="6" t="inlineStr">
        <is>
          <t>Khách hàng cá nhân</t>
        </is>
      </c>
      <c r="E7" s="6" t="n">
        <v>1</v>
      </c>
      <c r="F7" s="6" t="n">
        <v>1</v>
      </c>
      <c r="G7" s="6" t="n">
        <v>1</v>
      </c>
      <c r="H7" s="6" t="n">
        <v>1</v>
      </c>
      <c r="I7" s="6" t="inlineStr">
        <is>
          <t>Có ý nghĩa</t>
        </is>
      </c>
      <c r="J7" s="6" t="inlineStr">
        <is>
          <t>Hồi quy</t>
        </is>
      </c>
      <c r="K7" s="6" t="inlineStr">
        <is>
          <t>Ngân hàng khác</t>
        </is>
      </c>
    </row>
    <row r="8">
      <c r="A8" s="6" t="inlineStr">
        <is>
          <t>NC05</t>
        </is>
      </c>
      <c r="B8" s="6" t="inlineStr">
        <is>
          <t>TP lớn</t>
        </is>
      </c>
      <c r="C8" s="6" t="inlineStr">
        <is>
          <t>UTAUT</t>
        </is>
      </c>
      <c r="D8" s="6" t="inlineStr">
        <is>
          <t>Khách hàng cá nhân</t>
        </is>
      </c>
      <c r="E8" s="6" t="n">
        <v>1</v>
      </c>
      <c r="F8" s="6" t="n">
        <v>0</v>
      </c>
      <c r="G8" s="6" t="n">
        <v>1</v>
      </c>
      <c r="H8" s="6" t="n">
        <v>1</v>
      </c>
      <c r="I8" s="6" t="inlineStr"/>
      <c r="J8" s="6" t="inlineStr">
        <is>
          <t>PLS-SEM</t>
        </is>
      </c>
      <c r="K8" s="6" t="inlineStr">
        <is>
          <t>Ngân hàng khác</t>
        </is>
      </c>
    </row>
    <row r="9">
      <c r="A9" s="6" t="inlineStr">
        <is>
          <t>NC06</t>
        </is>
      </c>
      <c r="B9" s="6" t="inlineStr">
        <is>
          <t>TP lớn</t>
        </is>
      </c>
      <c r="C9" s="6" t="inlineStr">
        <is>
          <t>UTAUT</t>
        </is>
      </c>
      <c r="D9" s="6" t="inlineStr">
        <is>
          <t>Sinh viên</t>
        </is>
      </c>
      <c r="E9" s="6" t="n">
        <v>1</v>
      </c>
      <c r="F9" s="6" t="n">
        <v>1</v>
      </c>
      <c r="G9" s="6" t="n">
        <v>1</v>
      </c>
      <c r="H9" s="6" t="n">
        <v>1</v>
      </c>
      <c r="I9" s="6" t="inlineStr">
        <is>
          <t>Không có ý nghĩa</t>
        </is>
      </c>
      <c r="J9" s="6" t="inlineStr">
        <is>
          <t>PLS-SEM</t>
        </is>
      </c>
      <c r="K9" s="6" t="inlineStr">
        <is>
          <t>Ngân hàng khác</t>
        </is>
      </c>
    </row>
    <row r="10">
      <c r="A10" s="6" t="inlineStr">
        <is>
          <t>NC07</t>
        </is>
      </c>
      <c r="B10" s="6" t="inlineStr">
        <is>
          <t>TP lớn</t>
        </is>
      </c>
      <c r="C10" s="6" t="inlineStr">
        <is>
          <t>TAM + TPB</t>
        </is>
      </c>
      <c r="D10" s="6" t="inlineStr">
        <is>
          <t>Khách hàng cá nhân</t>
        </is>
      </c>
      <c r="E10" s="6" t="n">
        <v>1</v>
      </c>
      <c r="F10" s="6" t="n">
        <v>0</v>
      </c>
      <c r="G10" s="6" t="n">
        <v>1</v>
      </c>
      <c r="H10" s="6" t="n">
        <v>1</v>
      </c>
      <c r="I10" s="6" t="inlineStr"/>
      <c r="J10" s="6" t="inlineStr">
        <is>
          <t>SEM</t>
        </is>
      </c>
      <c r="K10" s="6" t="inlineStr">
        <is>
          <t>Ngân hàng khác</t>
        </is>
      </c>
    </row>
    <row r="11">
      <c r="A11" s="6" t="inlineStr">
        <is>
          <t>NC08</t>
        </is>
      </c>
      <c r="B11" s="6" t="inlineStr">
        <is>
          <t>Tỉnh</t>
        </is>
      </c>
      <c r="C11" s="6" t="inlineStr">
        <is>
          <t>TAM</t>
        </is>
      </c>
      <c r="D11" s="6" t="inlineStr">
        <is>
          <t>Khách hàng cá nhân</t>
        </is>
      </c>
      <c r="E11" s="6" t="n">
        <v>1</v>
      </c>
      <c r="F11" s="6" t="n">
        <v>1</v>
      </c>
      <c r="G11" s="6" t="n">
        <v>1</v>
      </c>
      <c r="H11" s="6" t="n">
        <v>1</v>
      </c>
      <c r="I11" s="6" t="inlineStr">
        <is>
          <t>Có ý nghĩa</t>
        </is>
      </c>
      <c r="J11" s="6" t="inlineStr">
        <is>
          <t>Hồi quy</t>
        </is>
      </c>
      <c r="K11" s="6" t="inlineStr">
        <is>
          <t>Ngân hàng khác</t>
        </is>
      </c>
    </row>
    <row r="12">
      <c r="A12" s="6" t="inlineStr">
        <is>
          <t>NC09</t>
        </is>
      </c>
      <c r="B12" s="6" t="inlineStr">
        <is>
          <t>TP lớn</t>
        </is>
      </c>
      <c r="C12" s="6" t="inlineStr">
        <is>
          <t>TAM</t>
        </is>
      </c>
      <c r="D12" s="6" t="inlineStr">
        <is>
          <t>Khách hàng cá nhân</t>
        </is>
      </c>
      <c r="E12" s="6" t="n">
        <v>1</v>
      </c>
      <c r="F12" s="6" t="n">
        <v>1</v>
      </c>
      <c r="G12" s="6" t="n">
        <v>0</v>
      </c>
      <c r="H12" s="6" t="n">
        <v>0</v>
      </c>
      <c r="I12" s="6" t="inlineStr">
        <is>
          <t>Có ý nghĩa</t>
        </is>
      </c>
      <c r="J12" s="6" t="inlineStr">
        <is>
          <t>Hồi quy</t>
        </is>
      </c>
      <c r="K12" s="6" t="inlineStr">
        <is>
          <t>Ngân hàng khác</t>
        </is>
      </c>
    </row>
    <row r="13">
      <c r="A13" s="6" t="inlineStr">
        <is>
          <t>NC10</t>
        </is>
      </c>
      <c r="B13" s="6" t="inlineStr">
        <is>
          <t>TP lớn</t>
        </is>
      </c>
      <c r="C13" s="6" t="inlineStr">
        <is>
          <t>TAM</t>
        </is>
      </c>
      <c r="D13" s="6" t="inlineStr">
        <is>
          <t>Khách hàng cá nhân</t>
        </is>
      </c>
      <c r="E13" s="6" t="n">
        <v>1</v>
      </c>
      <c r="F13" s="6" t="n">
        <v>1</v>
      </c>
      <c r="G13" s="6" t="n">
        <v>1</v>
      </c>
      <c r="H13" s="6" t="n">
        <v>0</v>
      </c>
      <c r="I13" s="6" t="inlineStr">
        <is>
          <t>Có ý nghĩa</t>
        </is>
      </c>
      <c r="J13" s="6" t="inlineStr">
        <is>
          <t>Hồi quy</t>
        </is>
      </c>
      <c r="K13" s="6" t="inlineStr">
        <is>
          <t>Ngân hàng khác</t>
        </is>
      </c>
    </row>
    <row r="14">
      <c r="A14" s="6" t="inlineStr">
        <is>
          <t>NC11</t>
        </is>
      </c>
      <c r="B14" s="6" t="inlineStr">
        <is>
          <t>TP lớn</t>
        </is>
      </c>
      <c r="C14" s="6" t="inlineStr">
        <is>
          <t>UTAUT</t>
        </is>
      </c>
      <c r="D14" s="6" t="inlineStr">
        <is>
          <t>Sinh viên</t>
        </is>
      </c>
      <c r="E14" s="6" t="n">
        <v>1</v>
      </c>
      <c r="F14" s="6" t="n">
        <v>1</v>
      </c>
      <c r="G14" s="6" t="n">
        <v>0</v>
      </c>
      <c r="H14" s="6" t="n">
        <v>1</v>
      </c>
      <c r="I14" s="6" t="inlineStr">
        <is>
          <t>Có ý nghĩa</t>
        </is>
      </c>
      <c r="J14" s="6" t="inlineStr">
        <is>
          <t>SEM</t>
        </is>
      </c>
      <c r="K14" s="6" t="inlineStr">
        <is>
          <t>Ngân hàng khác</t>
        </is>
      </c>
    </row>
    <row r="15">
      <c r="A15" s="6" t="inlineStr">
        <is>
          <t>NC12</t>
        </is>
      </c>
      <c r="B15" s="6" t="inlineStr">
        <is>
          <t>TP lớn</t>
        </is>
      </c>
      <c r="C15" s="6" t="inlineStr">
        <is>
          <t>TAM</t>
        </is>
      </c>
      <c r="D15" s="6" t="inlineStr">
        <is>
          <t>Khách hàng cá nhân</t>
        </is>
      </c>
      <c r="E15" s="6" t="n">
        <v>1</v>
      </c>
      <c r="F15" s="6" t="n">
        <v>1</v>
      </c>
      <c r="G15" s="6" t="n">
        <v>0</v>
      </c>
      <c r="H15" s="6" t="n">
        <v>0</v>
      </c>
      <c r="I15" s="6" t="inlineStr">
        <is>
          <t>Không có ý nghĩa</t>
        </is>
      </c>
      <c r="J15" s="6" t="inlineStr">
        <is>
          <t>PLS-SEM</t>
        </is>
      </c>
      <c r="K15" s="6" t="inlineStr">
        <is>
          <t>Ngân hàng khác</t>
        </is>
      </c>
    </row>
    <row r="16">
      <c r="A16" s="6" t="inlineStr">
        <is>
          <t>NC13</t>
        </is>
      </c>
      <c r="B16" s="6" t="inlineStr">
        <is>
          <t>TP lớn</t>
        </is>
      </c>
      <c r="C16" s="6" t="inlineStr">
        <is>
          <t>TAM</t>
        </is>
      </c>
      <c r="D16" s="6" t="inlineStr">
        <is>
          <t>Khách hàng cá nhân</t>
        </is>
      </c>
      <c r="E16" s="6" t="n">
        <v>1</v>
      </c>
      <c r="F16" s="6" t="n">
        <v>0</v>
      </c>
      <c r="G16" s="6" t="n">
        <v>1</v>
      </c>
      <c r="H16" s="6" t="n">
        <v>0</v>
      </c>
      <c r="I16" s="6" t="inlineStr"/>
      <c r="J16" s="6" t="inlineStr">
        <is>
          <t>Hồi quy</t>
        </is>
      </c>
      <c r="K16" s="6" t="inlineStr">
        <is>
          <t>Ngân hàng khác</t>
        </is>
      </c>
    </row>
    <row r="17">
      <c r="A17" s="6" t="inlineStr">
        <is>
          <t>NC14</t>
        </is>
      </c>
      <c r="B17" s="6" t="inlineStr">
        <is>
          <t>TP lớn</t>
        </is>
      </c>
      <c r="C17" s="6" t="inlineStr">
        <is>
          <t>TPB</t>
        </is>
      </c>
      <c r="D17" s="6" t="inlineStr">
        <is>
          <t>Khách hàng cá nhân</t>
        </is>
      </c>
      <c r="E17" s="6" t="n">
        <v>0</v>
      </c>
      <c r="F17" s="6" t="n">
        <v>0</v>
      </c>
      <c r="G17" s="6" t="n">
        <v>1</v>
      </c>
      <c r="H17" s="6" t="n">
        <v>1</v>
      </c>
      <c r="I17" s="6" t="inlineStr"/>
      <c r="J17" s="6" t="inlineStr">
        <is>
          <t>Hồi quy</t>
        </is>
      </c>
      <c r="K17" s="6" t="inlineStr">
        <is>
          <t>Ngân hàng khác</t>
        </is>
      </c>
    </row>
    <row r="18">
      <c r="A18" s="6" t="inlineStr">
        <is>
          <t>NC15</t>
        </is>
      </c>
      <c r="B18" s="6" t="inlineStr">
        <is>
          <t>TP lớn</t>
        </is>
      </c>
      <c r="C18" s="6" t="inlineStr">
        <is>
          <t>UTAUT</t>
        </is>
      </c>
      <c r="D18" s="6" t="inlineStr">
        <is>
          <t>Khách hàng cá nhân</t>
        </is>
      </c>
      <c r="E18" s="6" t="n">
        <v>1</v>
      </c>
      <c r="F18" s="6" t="n">
        <v>0</v>
      </c>
      <c r="G18" s="6" t="n">
        <v>0</v>
      </c>
      <c r="H18" s="6" t="n">
        <v>1</v>
      </c>
      <c r="I18" s="6" t="inlineStr"/>
      <c r="J18" s="6" t="inlineStr">
        <is>
          <t>SEM</t>
        </is>
      </c>
      <c r="K18" s="6" t="inlineStr">
        <is>
          <t>Ngân hàng khác</t>
        </is>
      </c>
    </row>
    <row r="19">
      <c r="A19" s="6" t="inlineStr">
        <is>
          <t>NC16</t>
        </is>
      </c>
      <c r="B19" s="6" t="inlineStr">
        <is>
          <t>TP lớn</t>
        </is>
      </c>
      <c r="C19" s="6" t="inlineStr">
        <is>
          <t>TAM</t>
        </is>
      </c>
      <c r="D19" s="6" t="inlineStr">
        <is>
          <t>Sinh viên</t>
        </is>
      </c>
      <c r="E19" s="6" t="n">
        <v>1</v>
      </c>
      <c r="F19" s="6" t="n">
        <v>1</v>
      </c>
      <c r="G19" s="6" t="n">
        <v>0</v>
      </c>
      <c r="H19" s="6" t="n">
        <v>0</v>
      </c>
      <c r="I19" s="6" t="inlineStr">
        <is>
          <t>Có ý nghĩa</t>
        </is>
      </c>
      <c r="J19" s="6" t="inlineStr">
        <is>
          <t>Hồi quy</t>
        </is>
      </c>
      <c r="K19" s="6" t="inlineStr">
        <is>
          <t>Ngân hàng khác</t>
        </is>
      </c>
    </row>
    <row r="20">
      <c r="A20" s="6" t="inlineStr">
        <is>
          <t>NC17</t>
        </is>
      </c>
      <c r="B20" s="6" t="inlineStr">
        <is>
          <t>TP lớn</t>
        </is>
      </c>
      <c r="C20" s="6" t="inlineStr">
        <is>
          <t>Cam kết và niềm tin</t>
        </is>
      </c>
      <c r="D20" s="6" t="inlineStr">
        <is>
          <t>Khách hàng cá nhân</t>
        </is>
      </c>
      <c r="E20" s="6" t="n">
        <v>0</v>
      </c>
      <c r="F20" s="6" t="n">
        <v>0</v>
      </c>
      <c r="G20" s="6" t="n">
        <v>1</v>
      </c>
      <c r="H20" s="6" t="n">
        <v>0</v>
      </c>
      <c r="I20" s="6" t="inlineStr"/>
      <c r="J20" s="6" t="inlineStr">
        <is>
          <t>SEM</t>
        </is>
      </c>
      <c r="K20" s="6" t="inlineStr">
        <is>
          <t>Ngân hàng khác</t>
        </is>
      </c>
    </row>
    <row r="21">
      <c r="A21" s="6" t="inlineStr">
        <is>
          <t>NC18</t>
        </is>
      </c>
      <c r="B21" s="6" t="inlineStr">
        <is>
          <t>Tỉnh</t>
        </is>
      </c>
      <c r="C21" s="6" t="inlineStr">
        <is>
          <t>TAM</t>
        </is>
      </c>
      <c r="D21" s="6" t="inlineStr">
        <is>
          <t>Khách hàng cá nhân</t>
        </is>
      </c>
      <c r="E21" s="6" t="n">
        <v>1</v>
      </c>
      <c r="F21" s="6" t="n">
        <v>1</v>
      </c>
      <c r="G21" s="6" t="n">
        <v>0</v>
      </c>
      <c r="H21" s="6" t="n">
        <v>0</v>
      </c>
      <c r="I21" s="6" t="inlineStr">
        <is>
          <t>Không có ý nghĩa</t>
        </is>
      </c>
      <c r="J21" s="6" t="inlineStr">
        <is>
          <t>Hồi quy</t>
        </is>
      </c>
      <c r="K21" s="6" t="inlineStr">
        <is>
          <t>Ngân hàng khác</t>
        </is>
      </c>
    </row>
    <row r="22">
      <c r="A22" s="6" t="inlineStr">
        <is>
          <t>NC19</t>
        </is>
      </c>
      <c r="B22" s="6" t="inlineStr">
        <is>
          <t>Tỉnh</t>
        </is>
      </c>
      <c r="C22" s="6" t="inlineStr">
        <is>
          <t>TAM</t>
        </is>
      </c>
      <c r="D22" s="6" t="inlineStr">
        <is>
          <t>Khách hàng cá nhân</t>
        </is>
      </c>
      <c r="E22" s="6" t="n">
        <v>1</v>
      </c>
      <c r="F22" s="6" t="n">
        <v>0</v>
      </c>
      <c r="G22" s="6" t="n">
        <v>1</v>
      </c>
      <c r="H22" s="6" t="n">
        <v>0</v>
      </c>
      <c r="I22" s="6" t="inlineStr"/>
      <c r="J22" s="6" t="inlineStr">
        <is>
          <t>Hồi quy</t>
        </is>
      </c>
      <c r="K22" s="6" t="inlineStr">
        <is>
          <t>Ngân hàng khác</t>
        </is>
      </c>
    </row>
    <row r="23">
      <c r="A23" s="6" t="inlineStr">
        <is>
          <t>NC20</t>
        </is>
      </c>
      <c r="B23" s="6" t="inlineStr">
        <is>
          <t>Tỉnh</t>
        </is>
      </c>
      <c r="C23" s="6" t="inlineStr">
        <is>
          <t>TPB</t>
        </is>
      </c>
      <c r="D23" s="6" t="inlineStr">
        <is>
          <t>Khách hàng cá nhân</t>
        </is>
      </c>
      <c r="E23" s="6" t="n">
        <v>0</v>
      </c>
      <c r="F23" s="6" t="n">
        <v>0</v>
      </c>
      <c r="G23" s="6" t="n">
        <v>0</v>
      </c>
      <c r="H23" s="6" t="n">
        <v>1</v>
      </c>
      <c r="I23" s="6" t="inlineStr"/>
      <c r="J23" s="6" t="inlineStr">
        <is>
          <t>Hồi quy</t>
        </is>
      </c>
      <c r="K23" s="6" t="inlineStr">
        <is>
          <t>Ngân hàng khác</t>
        </is>
      </c>
    </row>
    <row r="24">
      <c r="A24" s="6" t="inlineStr">
        <is>
          <t>NC21</t>
        </is>
      </c>
      <c r="B24" s="6" t="inlineStr">
        <is>
          <t>TP lớn</t>
        </is>
      </c>
      <c r="C24" s="6" t="inlineStr">
        <is>
          <t>TAM</t>
        </is>
      </c>
      <c r="D24" s="6" t="inlineStr">
        <is>
          <t>Sinh viên</t>
        </is>
      </c>
      <c r="E24" s="6" t="n">
        <v>1</v>
      </c>
      <c r="F24" s="6" t="n">
        <v>0</v>
      </c>
      <c r="G24" s="6" t="n">
        <v>1</v>
      </c>
      <c r="H24" s="6" t="n">
        <v>0</v>
      </c>
      <c r="I24" s="6" t="inlineStr"/>
      <c r="J24" s="6" t="inlineStr">
        <is>
          <t>PLS-SEM</t>
        </is>
      </c>
      <c r="K24" s="6" t="inlineStr">
        <is>
          <t>Ngân hàng khác</t>
        </is>
      </c>
    </row>
    <row r="26">
      <c r="A26" s="3" t="inlineStr">
        <is>
          <t>BẢNG ĐẾM KHOẢNG TRỐNG (Bảng BS2 của sách)</t>
        </is>
      </c>
    </row>
    <row r="27">
      <c r="A27" s="5" t="inlineStr">
        <is>
          <t>Câu hỏi đếm</t>
        </is>
      </c>
      <c r="B27" s="5" t="inlineStr">
        <is>
          <t>Kết quả</t>
        </is>
      </c>
      <c r="C27" s="5" t="inlineStr">
        <is>
          <t>Cách đọc</t>
        </is>
      </c>
    </row>
    <row r="28">
      <c r="A28" s="6" t="inlineStr">
        <is>
          <t>Tổng số nghiên cứu trong ma trận</t>
        </is>
      </c>
      <c r="B28" s="10">
        <f>COUNTA($A$4:$A$24)</f>
        <v/>
      </c>
      <c r="C28" s="6" t="inlineStr">
        <is>
          <t>Quy mô tổng quan; nên từ 15 đến 20 trở lên</t>
        </is>
      </c>
    </row>
    <row r="29">
      <c r="A29" s="6" t="inlineStr">
        <is>
          <t>Xét đồng thời HI, NT và XH</t>
        </is>
      </c>
      <c r="B29" s="10">
        <f>COUNTIFS($E$4:$E$24,1,$G$4:$G$24,1,$H$4:$H$24,1)</f>
        <v/>
      </c>
      <c r="C29" s="6" t="inlineStr">
        <is>
          <t>Lớn hơn 0: tổ hợp biến không mới</t>
        </is>
      </c>
    </row>
    <row r="30">
      <c r="A30" s="6" t="inlineStr">
        <is>
          <t>... trong đó khảo sát ngoài thành phố lớn</t>
        </is>
      </c>
      <c r="B30" s="10">
        <f>COUNTIFS($E$4:$E$24,1,$G$4:$G$24,1,$H$4:$H$24,1,$B$4:$B$24,"Tỉnh")</f>
        <v/>
      </c>
      <c r="C30" s="6" t="inlineStr">
        <is>
          <t>Rất ít: khoảng trống loại 1 (bối cảnh)</t>
        </is>
      </c>
    </row>
    <row r="31">
      <c r="A31" s="6" t="inlineStr">
        <is>
          <t>Khảo sát tại Ngân hàng X</t>
        </is>
      </c>
      <c r="B31" s="10">
        <f>COUNTIF($K$4:$K$24,"Ngân hàng X")</f>
        <v/>
      </c>
      <c r="C31" s="6" t="inlineStr">
        <is>
          <t>Bằng 0 nhưng yếu nếu đứng một mình (Whetten, 1989)</t>
        </is>
      </c>
    </row>
    <row r="32">
      <c r="A32" s="6" t="inlineStr">
        <is>
          <t>SD có ý nghĩa</t>
        </is>
      </c>
      <c r="B32" s="10">
        <f>COUNTIF($I$4:$I$24,"Có ý nghĩa")</f>
        <v/>
      </c>
      <c r="C32" s="6" t="inlineStr">
        <is>
          <t>So với dòng dưới</t>
        </is>
      </c>
    </row>
    <row r="33">
      <c r="A33" s="6" t="inlineStr">
        <is>
          <t>SD không có ý nghĩa</t>
        </is>
      </c>
      <c r="B33" s="10">
        <f>COUNTIF($I$4:$I$24,"Không có ý nghĩa")</f>
        <v/>
      </c>
      <c r="C33" s="6" t="inlineStr">
        <is>
          <t>Hai dòng đều lớn hơn 0: khoảng trống loại 4 (kết quả trái chiều)</t>
        </is>
      </c>
    </row>
    <row r="34">
      <c r="A34" s="6" t="inlineStr">
        <is>
          <t>Tỷ lệ nghiên cứu ở thành phố lớn (%)</t>
        </is>
      </c>
      <c r="B34" s="10">
        <f>COUNTIF($B$4:$B$24,"TP lớn")/COUNTA($A$4:$A$24)*100</f>
        <v/>
      </c>
      <c r="C34" s="6" t="inlineStr">
        <is>
          <t>Căn cứ cho câu "chủ yếu khảo sát tại các thành phố lớn"</t>
        </is>
      </c>
    </row>
    <row r="36" ht="35" customHeight="1">
      <c r="A36" s="4" t="inlineStr">
        <is>
          <t>Ô bằng 0 chỉ là ứng viên khoảng trống. Sinh viên phải giải thích vì sao bối cảnh đó có thể làm kết quả khác đi; nếu không, "chưa ai nghiên cứu ở đơn vị của em" chưa phải điểm mới.</t>
        </is>
      </c>
    </row>
  </sheetData>
  <mergeCells count="2">
    <mergeCell ref="A2:K2"/>
    <mergeCell ref="A36:K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6" customWidth="1" min="1" max="1"/>
    <col width="42" customWidth="1" min="2" max="2"/>
    <col width="42" customWidth="1" min="3" max="3"/>
  </cols>
  <sheetData>
    <row r="1">
      <c r="A1" s="3" t="inlineStr">
        <is>
          <t>DỮ LIỆU SƠ CẤP VÀ DỮ LIỆU THỨ CẤP</t>
        </is>
      </c>
    </row>
    <row r="2">
      <c r="A2" s="11" t="inlineStr">
        <is>
          <t>Bảng BS4. So sánh hai loại dữ liệu</t>
        </is>
      </c>
    </row>
    <row r="3">
      <c r="A3" s="5" t="inlineStr">
        <is>
          <t>Tiêu chí</t>
        </is>
      </c>
      <c r="B3" s="5" t="inlineStr">
        <is>
          <t>Dữ liệu sơ cấp</t>
        </is>
      </c>
      <c r="C3" s="5" t="inlineStr">
        <is>
          <t>Dữ liệu thứ cấp</t>
        </is>
      </c>
    </row>
    <row r="4">
      <c r="A4" s="6" t="inlineStr">
        <is>
          <t>Ai thu thập</t>
        </is>
      </c>
      <c r="B4" s="6" t="inlineStr">
        <is>
          <t>Chính sinh viên</t>
        </is>
      </c>
      <c r="C4" s="6" t="inlineStr">
        <is>
          <t>Cơ quan, tổ chức hoặc nhà nghiên cứu khác</t>
        </is>
      </c>
    </row>
    <row r="5">
      <c r="A5" s="6" t="inlineStr">
        <is>
          <t>Thu để làm gì</t>
        </is>
      </c>
      <c r="B5" s="6" t="inlineStr">
        <is>
          <t>Trả lời đúng câu hỏi nghiên cứu của đề tài</t>
        </is>
      </c>
      <c r="C5" s="6" t="inlineStr">
        <is>
          <t>Mục đích riêng của người thu; đề tài dùng lại</t>
        </is>
      </c>
    </row>
    <row r="6">
      <c r="A6" s="6" t="inlineStr">
        <is>
          <t>Ví dụ Ngân hàng X</t>
        </is>
      </c>
      <c r="B6" s="6" t="inlineStr">
        <is>
          <t>165 phiếu Google Form của khách hàng cá nhân</t>
        </is>
      </c>
      <c r="C6" s="6" t="inlineStr">
        <is>
          <t>Báo cáo thường niên của Ngân hàng X; niên giám thống kê; số liệu của ngân hàng trung ương</t>
        </is>
      </c>
    </row>
    <row r="7">
      <c r="A7" s="6" t="inlineStr">
        <is>
          <t>Ví dụ Trường Tiểu học Y</t>
        </is>
      </c>
      <c r="B7" s="6" t="inlineStr">
        <is>
          <t>131 phiếu giấy của phụ huynh; biên bản 10 buổi phỏng vấn</t>
        </is>
      </c>
      <c r="C7" s="6" t="inlineStr">
        <is>
          <t>Kế hoạch năm học, báo cáo tổng kết của trường (khi được Ban giám hiệu cho phép)</t>
        </is>
      </c>
    </row>
    <row r="8">
      <c r="A8" s="6" t="inlineStr">
        <is>
          <t>Ưu điểm</t>
        </is>
      </c>
      <c r="B8" s="6" t="inlineStr">
        <is>
          <t>Đo đúng biến cần đo; biết rõ cách thu</t>
        </is>
      </c>
      <c r="C8" s="6" t="inlineStr">
        <is>
          <t>Có sẵn, nhanh, nhiều năm, ít tốn kém</t>
        </is>
      </c>
    </row>
    <row r="9">
      <c r="A9" s="6" t="inlineStr">
        <is>
          <t>Hạn chế</t>
        </is>
      </c>
      <c r="B9" s="6" t="inlineStr">
        <is>
          <t>Mất 2 đến 3 tuần; phụ thuộc người trả lời; dễ sai lệch nếu thu sai cách</t>
        </is>
      </c>
      <c r="C9" s="6" t="inlineStr">
        <is>
          <t>Định nghĩa và cách đo có thể khác khái niệm của đề tài; có thể đã cũ</t>
        </is>
      </c>
    </row>
    <row r="10">
      <c r="A10" s="6" t="inlineStr">
        <is>
          <t>Vai trò trong khóa luận khảo sát</t>
        </is>
      </c>
      <c r="B10" s="6" t="inlineStr">
        <is>
          <t>Kiểm định giả thuyết H1 đến H4</t>
        </is>
      </c>
      <c r="C10" s="6" t="inlineStr">
        <is>
          <t>Mô tả bối cảnh ở Chương 1; giải thích kết quả ở Chương 4</t>
        </is>
      </c>
    </row>
    <row r="11">
      <c r="A11" s="6" t="inlineStr">
        <is>
          <t>Phải ghi lại</t>
        </is>
      </c>
      <c r="B11" s="6" t="inlineStr">
        <is>
          <t>Quy trình thu ở mục 3.5.1: thời gian, kênh, số mời, số thu, số loại</t>
        </is>
      </c>
      <c r="C11" s="6" t="inlineStr">
        <is>
          <t>Tên tổ chức, năm, tên tài liệu, trang hoặc bảng, ngày truy cập</t>
        </is>
      </c>
    </row>
    <row r="13">
      <c r="A13" s="11" t="inlineStr">
        <is>
          <t>Bảng BS5. Chuỗi tư duy sáu bậc: từ câu hỏi nghiên cứu đến người cầm phiếu</t>
        </is>
      </c>
    </row>
    <row r="14">
      <c r="A14" s="5" t="inlineStr">
        <is>
          <t>Bậc</t>
        </is>
      </c>
      <c r="B14" s="5" t="inlineStr">
        <is>
          <t>Ngân hàng X</t>
        </is>
      </c>
      <c r="C14" s="5" t="inlineStr">
        <is>
          <t>Trường Tiểu học Y</t>
        </is>
      </c>
    </row>
    <row r="15">
      <c r="A15" s="6" t="inlineStr">
        <is>
          <t>1. Câu hỏi cần con số hay câu chuyện?</t>
        </is>
      </c>
      <c r="B15" s="6" t="inlineStr">
        <is>
          <t>Con số: mức tác động của bốn yếu tố đến ý định sử dụng</t>
        </is>
      </c>
      <c r="C15" s="6" t="inlineStr">
        <is>
          <t>Con số: mức tác động của ba yếu tố đến sự hài lòng; câu chuyện: phụ huynh trải nghiệm thủ tục ra sao</t>
        </is>
      </c>
    </row>
    <row r="16">
      <c r="A16" s="6" t="inlineStr">
        <is>
          <t>2. Con số đo khái niệm nào?</t>
        </is>
      </c>
      <c r="B16" s="6" t="inlineStr">
        <is>
          <t>HI, SD, NT, XH, YD (19 câu hỏi)</t>
        </is>
      </c>
      <c r="C16" s="6" t="inlineStr">
        <is>
          <t>CSVC, TDNV, QTHC, HL (16 câu hỏi)</t>
        </is>
      </c>
    </row>
    <row r="17">
      <c r="A17" s="6" t="inlineStr">
        <is>
          <t>3. Ai biết câu trả lời?</t>
        </is>
      </c>
      <c r="B17" s="6" t="inlineStr">
        <is>
          <t>Khách hàng cá nhân đã đăng ký ngân hàng số; không hỏi nhân viên ngân hàng</t>
        </is>
      </c>
      <c r="C17" s="6" t="inlineStr">
        <is>
          <t>Phụ huynh đã làm thủ tục trong năm học; không hỏi học sinh</t>
        </is>
      </c>
    </row>
    <row r="18">
      <c r="A18" s="6" t="inlineStr">
        <is>
          <t>4. Dữ liệu đã có sẵn chưa?</t>
        </is>
      </c>
      <c r="B18" s="6" t="inlineStr">
        <is>
          <t>Chưa: ý định và niềm tin không có trong báo cáo nào. Thu sơ cấp</t>
        </is>
      </c>
      <c r="C18" s="6" t="inlineStr">
        <is>
          <t>Chưa: sự hài lòng về thủ tục không có trong báo cáo của trường. Thu sơ cấp</t>
        </is>
      </c>
    </row>
    <row r="19">
      <c r="A19" s="6" t="inlineStr">
        <is>
          <t>5. Thu bằng gì, gặp ở đâu, qua ai, lúc nào?</t>
        </is>
      </c>
      <c r="B19" s="6" t="inlineStr">
        <is>
          <t>Google Form; tại quầy (mã QR) và qua email, Zalo; xin phép Giám đốc phòng giao dịch</t>
        </is>
      </c>
      <c r="C19" s="6" t="inlineStr">
        <is>
          <t>Phiếu giấy tại cổng trường giờ đón con; xin phép Ban giám hiệu</t>
        </is>
      </c>
    </row>
    <row r="20">
      <c r="A20" s="6" t="inlineStr">
        <is>
          <t>6. Không gặp được thì làm gì?</t>
        </is>
      </c>
      <c r="B20" s="6" t="inlineStr">
        <is>
          <t>Thêm phòng giao dịch thứ hai; kéo dài thêm một tuần; ghi vào hạn chế</t>
        </is>
      </c>
      <c r="C20" s="6" t="inlineStr">
        <is>
          <t>Gửi phiếu qua giáo viên chủ nhiệm; thêm buổi họp phụ huynh</t>
        </is>
      </c>
    </row>
    <row r="22">
      <c r="A22" s="11" t="inlineStr">
        <is>
          <t>Bảng BS6. Nơi tìm dữ liệu thứ cấp và điều cần ghi lại</t>
        </is>
      </c>
    </row>
    <row r="23">
      <c r="A23" s="5" t="inlineStr">
        <is>
          <t>Loại dữ liệu</t>
        </is>
      </c>
      <c r="B23" s="5" t="inlineStr">
        <is>
          <t>Nguồn gốc nên lấy</t>
        </is>
      </c>
      <c r="C23" s="5" t="inlineStr">
        <is>
          <t>Lưu ý</t>
        </is>
      </c>
    </row>
    <row r="24">
      <c r="A24" s="6" t="inlineStr">
        <is>
          <t>Số liệu dân số, kinh tế, doanh nghiệp</t>
        </is>
      </c>
      <c r="B24" s="6" t="inlineStr">
        <is>
          <t>Niên giám thống kê của cơ quan thống kê quốc gia (trang nso.gov.vn, trước đây gso.gov.vn)</t>
        </is>
      </c>
      <c r="C24" s="6" t="inlineStr">
        <is>
          <t>Ghi năm xuất bản, tên bảng; không lấy số qua bài báo kể lại</t>
        </is>
      </c>
    </row>
    <row r="25">
      <c r="A25" s="6" t="inlineStr">
        <is>
          <t>Số liệu ngành ngân hàng</t>
        </is>
      </c>
      <c r="B25" s="6" t="inlineStr">
        <is>
          <t>Trang thông tin của Ngân hàng Nhà nước; báo cáo của hiệp hội ngành</t>
        </is>
      </c>
      <c r="C25" s="6" t="inlineStr">
        <is>
          <t>Ghi rõ chỉ tiêu được định nghĩa thế nào</t>
        </is>
      </c>
    </row>
    <row r="26">
      <c r="A26" s="6" t="inlineStr">
        <is>
          <t>Số liệu của một ngân hàng</t>
        </is>
      </c>
      <c r="B26" s="6" t="inlineStr">
        <is>
          <t>Báo cáo thường niên, báo cáo tài chính trên trang quan hệ nhà đầu tư</t>
        </is>
      </c>
      <c r="C26" s="6" t="inlineStr">
        <is>
          <t>Ghi năm và số trang; lưu bản PDF</t>
        </is>
      </c>
    </row>
    <row r="27">
      <c r="A27" s="6" t="inlineStr">
        <is>
          <t>Số liệu của trường học</t>
        </is>
      </c>
      <c r="B27" s="6" t="inlineStr">
        <is>
          <t>Kế hoạch năm học, báo cáo tổng kết, báo cáo tự đánh giá</t>
        </is>
      </c>
      <c r="C27" s="6" t="inlineStr">
        <is>
          <t>Chỉ dùng khi được phép; không đưa thông tin cá nhân</t>
        </is>
      </c>
    </row>
    <row r="28">
      <c r="A28" s="6" t="inlineStr">
        <is>
          <t>Tài liệu tổ chức, công khai, mạng xã hội</t>
        </is>
      </c>
      <c r="B28" s="6" t="inlineStr">
        <is>
          <t>Fanpage, Zalo OA, bình luận công khai (Trần Phước, n.d., tr. 49)</t>
        </is>
      </c>
      <c r="C28" s="6" t="inlineStr">
        <is>
          <t>Chụp màn hình có ngày; ẩn tên người bình luận</t>
        </is>
      </c>
    </row>
    <row r="29">
      <c r="A29" s="6" t="inlineStr">
        <is>
          <t>Nghiên cứu trước</t>
        </is>
      </c>
      <c r="B29" s="6" t="inlineStr">
        <is>
          <t>Bài báo, luận văn tìm qua sheet 1</t>
        </is>
      </c>
      <c r="C29" s="6" t="inlineStr">
        <is>
          <t>Là tài liệu tham khảo cho Chương 2, không phải dữ liệu để kiểm định</t>
        </is>
      </c>
    </row>
    <row r="31">
      <c r="A31" s="11" t="inlineStr">
        <is>
          <t>Năm câu hỏi đánh giá một nguồn thứ cấp trước khi dùng</t>
        </is>
      </c>
    </row>
    <row r="32">
      <c r="A32" s="5" t="inlineStr">
        <is>
          <t>Câu hỏi</t>
        </is>
      </c>
      <c r="B32" s="5" t="inlineStr">
        <is>
          <t>Ví dụ trả lời đạt</t>
        </is>
      </c>
      <c r="C32" s="5" t="inlineStr">
        <is>
          <t>Nếu trả lời không</t>
        </is>
      </c>
    </row>
    <row r="33">
      <c r="A33" s="6" t="inlineStr">
        <is>
          <t>Ai thu và có uy tín không?</t>
        </is>
      </c>
      <c r="B33" s="6" t="inlineStr">
        <is>
          <t>Cơ quan thống kê quốc gia</t>
        </is>
      </c>
      <c r="C33" s="6" t="inlineStr">
        <is>
          <t>Tìm nguồn gốc của con số</t>
        </is>
      </c>
    </row>
    <row r="34">
      <c r="A34" s="6" t="inlineStr">
        <is>
          <t>Thu để làm gì?</t>
        </is>
      </c>
      <c r="B34" s="6" t="inlineStr">
        <is>
          <t>Thống kê chính thức hằng năm</t>
        </is>
      </c>
      <c r="C34" s="6" t="inlineStr">
        <is>
          <t>Cân nhắc sai lệch do mục đích quảng bá</t>
        </is>
      </c>
    </row>
    <row r="35">
      <c r="A35" s="6" t="inlineStr">
        <is>
          <t>Thu khi nào?</t>
        </is>
      </c>
      <c r="B35" s="6" t="inlineStr">
        <is>
          <t>Năm gần nhất có số liệu</t>
        </is>
      </c>
      <c r="C35" s="6" t="inlineStr">
        <is>
          <t>Ghi rõ năm; giải thích vì sao dùng số cũ</t>
        </is>
      </c>
    </row>
    <row r="36">
      <c r="A36" s="6" t="inlineStr">
        <is>
          <t>Định nghĩa có khớp khái niệm của đề tài không?</t>
        </is>
      </c>
      <c r="B36" s="6" t="inlineStr">
        <is>
          <t>"Tài khoản thanh toán cá nhân" khớp phạm vi khách hàng cá nhân</t>
        </is>
      </c>
      <c r="C36" s="6" t="inlineStr">
        <is>
          <t>Không dùng làm bằng chứng trực tiếp</t>
        </is>
      </c>
    </row>
    <row r="37">
      <c r="A37" s="6" t="inlineStr">
        <is>
          <t>Dẫn nguồn đầy đủ được không?</t>
        </is>
      </c>
      <c r="B37" s="6" t="inlineStr">
        <is>
          <t>Có tên, năm, trang, đường dẫn</t>
        </is>
      </c>
      <c r="C37" s="6" t="inlineStr">
        <is>
          <t>Không dùng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46" customWidth="1" min="1" max="1"/>
    <col width="16" customWidth="1" min="2" max="2"/>
    <col width="50" customWidth="1" min="3" max="3"/>
  </cols>
  <sheetData>
    <row r="1">
      <c r="A1" s="3" t="inlineStr">
        <is>
          <t>TỪ CỠ MẪU TỐI THIỂU ĐẾN SỐ NGƯỜI CẦN MỜI (Bảng BS8 của sách)</t>
        </is>
      </c>
    </row>
    <row r="2" ht="32" customHeight="1">
      <c r="A2" s="4" t="inlineStr">
        <is>
          <t>Sinh viên chỉ sửa các ô nền vàng. Công thức: số cần mời = số phiếu hợp lệ mục tiêu chia cho (tỷ lệ phản hồi dự kiến nhân tỷ lệ phiếu hợp lệ dự kiến), làm tròn lên.</t>
        </is>
      </c>
    </row>
    <row r="3">
      <c r="A3" s="5" t="inlineStr">
        <is>
          <t>Chỉ tiêu</t>
        </is>
      </c>
      <c r="B3" s="5" t="inlineStr">
        <is>
          <t>Giá trị</t>
        </is>
      </c>
      <c r="C3" s="5" t="inlineStr">
        <is>
          <t>Ghi chú</t>
        </is>
      </c>
    </row>
    <row r="4">
      <c r="A4" s="6" t="inlineStr">
        <is>
          <t>Số biến quan sát (câu hỏi đo khái niệm)</t>
        </is>
      </c>
      <c r="B4" s="12" t="n">
        <v>19</v>
      </c>
      <c r="C4" s="6" t="inlineStr">
        <is>
          <t>Bảng 13 của sách</t>
        </is>
      </c>
    </row>
    <row r="5">
      <c r="A5" s="6" t="inlineStr">
        <is>
          <t>Số biến độc lập</t>
        </is>
      </c>
      <c r="B5" s="12" t="n">
        <v>4</v>
      </c>
      <c r="C5" s="6" t="inlineStr">
        <is>
          <t>HI, SD, NT, XH</t>
        </is>
      </c>
    </row>
    <row r="6">
      <c r="A6" s="6" t="inlineStr">
        <is>
          <t>Tối thiểu theo Hair và cộng sự (2010): 5 nhân số câu</t>
        </is>
      </c>
      <c r="B6" s="13">
        <f>5*B4</f>
        <v/>
      </c>
      <c r="C6" s="6" t="inlineStr">
        <is>
          <t>Cho phân tích nhân tố</t>
        </is>
      </c>
    </row>
    <row r="7">
      <c r="A7" s="6" t="inlineStr">
        <is>
          <t>Tối thiểu theo Green (1991): 50 + 8m</t>
        </is>
      </c>
      <c r="B7" s="13">
        <f>50+8*B5</f>
        <v/>
      </c>
      <c r="C7" s="6" t="inlineStr">
        <is>
          <t>Cho hồi quy</t>
        </is>
      </c>
    </row>
    <row r="8">
      <c r="A8" s="6" t="inlineStr">
        <is>
          <t>Cỡ mẫu tối thiểu</t>
        </is>
      </c>
      <c r="B8" s="13">
        <f>MAX(B6,B7)</f>
        <v/>
      </c>
      <c r="C8" s="6" t="inlineStr">
        <is>
          <t>Lấy số lớn hơn</t>
        </is>
      </c>
    </row>
    <row r="9">
      <c r="A9" s="6" t="inlineStr">
        <is>
          <t>Số phiếu hợp lệ mục tiêu</t>
        </is>
      </c>
      <c r="B9" s="12" t="n">
        <v>150</v>
      </c>
      <c r="C9" s="6" t="inlineStr">
        <is>
          <t>Bảng 12 của sách</t>
        </is>
      </c>
    </row>
    <row r="10">
      <c r="A10" s="6" t="inlineStr">
        <is>
          <t>Tỷ lệ phản hồi dự kiến</t>
        </is>
      </c>
      <c r="B10" s="14" t="n">
        <v>0.8</v>
      </c>
      <c r="C10" s="6" t="inlineStr">
        <is>
          <t>Ước lượng khi lập kế hoạch</t>
        </is>
      </c>
    </row>
    <row r="11">
      <c r="A11" s="6" t="inlineStr">
        <is>
          <t>Tỷ lệ phiếu hợp lệ dự kiến</t>
        </is>
      </c>
      <c r="B11" s="14" t="n">
        <v>0.9399999999999999</v>
      </c>
      <c r="C11" s="6" t="inlineStr">
        <is>
          <t>Ước lượng khi lập kế hoạch</t>
        </is>
      </c>
    </row>
    <row r="12">
      <c r="A12" s="6" t="inlineStr">
        <is>
          <t>SỐ NGƯỜI CẦN MỜI</t>
        </is>
      </c>
      <c r="B12" s="15">
        <f>ROUNDUP(B9/(B10*B11),0)</f>
        <v/>
      </c>
      <c r="C12" s="6" t="inlineStr">
        <is>
          <t>Ngân hàng X đã mời 200 người</t>
        </is>
      </c>
    </row>
    <row r="14">
      <c r="A14" s="11" t="inlineStr">
        <is>
          <t>Thử các tình huống (cùng mục tiêu 150 phiếu hợp lệ)</t>
        </is>
      </c>
    </row>
    <row r="15">
      <c r="A15" s="5" t="inlineStr">
        <is>
          <t>Tình huống</t>
        </is>
      </c>
      <c r="B15" s="5" t="inlineStr">
        <is>
          <t>Tỷ lệ phản hồi</t>
        </is>
      </c>
      <c r="C15" s="5" t="inlineStr">
        <is>
          <t>Tỷ lệ hợp lệ</t>
        </is>
      </c>
      <c r="D15" s="5" t="inlineStr">
        <is>
          <t>Số cần mời</t>
        </is>
      </c>
    </row>
    <row r="16">
      <c r="A16" s="6" t="inlineStr">
        <is>
          <t>Ngân hàng X thực tế: mời tại quầy và trực tuyến</t>
        </is>
      </c>
      <c r="B16" s="16" t="n">
        <v>0.825</v>
      </c>
      <c r="C16" s="16" t="n">
        <v>0.9090909090909091</v>
      </c>
      <c r="D16" s="17">
        <f>ROUNDUP(150/(B16*C16),0)</f>
        <v/>
      </c>
    </row>
    <row r="17">
      <c r="A17" s="6" t="inlineStr">
        <is>
          <t>Chỉ gửi trực tuyến, tỷ lệ bằng mức trung bình 52,7% của Baruch và Holtom (2008)</t>
        </is>
      </c>
      <c r="B17" s="16" t="n">
        <v>0.527</v>
      </c>
      <c r="C17" s="16" t="n">
        <v>0.9</v>
      </c>
      <c r="D17" s="17">
        <f>ROUNDUP(150/(B17*C17),0)</f>
        <v/>
      </c>
    </row>
    <row r="18">
      <c r="A18" s="6" t="inlineStr">
        <is>
          <t>Chỉ đăng một lần lên mạng xã hội, không nhắc lại (giả định)</t>
        </is>
      </c>
      <c r="B18" s="16" t="n">
        <v>0.3</v>
      </c>
      <c r="C18" s="16" t="n">
        <v>0.85</v>
      </c>
      <c r="D18" s="17">
        <f>ROUNDUP(150/(B18*C18),0)</f>
        <v/>
      </c>
    </row>
    <row r="20" ht="40" customHeight="1">
      <c r="A20" s="4" t="inlineStr">
        <is>
          <t>Cách đọc: cùng mục tiêu 150 phiếu, khảo sát chỉ qua mạng ở mức phản hồi trung bình cần mời khoảng 317 người, gấp hơn một lần rưỡi Ngân hàng X. Vì vậy kế hoạch mời phải làm trước khi phát phiếu, không làm sau khi thấy thiếu.</t>
        </is>
      </c>
    </row>
  </sheetData>
  <mergeCells count="2">
    <mergeCell ref="A20:D20"/>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2" customWidth="1" min="2" max="2"/>
    <col width="30" customWidth="1" min="3" max="3"/>
    <col width="52" customWidth="1" min="4" max="4"/>
  </cols>
  <sheetData>
    <row r="1">
      <c r="A1" s="3" t="inlineStr">
        <is>
          <t>LỊCH TIẾP XÚC CỦA NGÂN HÀNG X (Bảng BS9 của sách)</t>
        </is>
      </c>
    </row>
    <row r="2" ht="45" customHeight="1">
      <c r="A2" s="4" t="inlineStr">
        <is>
          <t>Dillman và cộng sự (2014) xem khảo sát là một chuỗi tiếp xúc có kế hoạch. Mốc ngày khớp với dấu thời gian của 165 phiếu ở sheet 6. Các ngày nhắc lại cũng là ranh giới chia nhóm trả lời sớm và muộn ở sheet 8.</t>
        </is>
      </c>
    </row>
    <row r="3">
      <c r="A3" s="5" t="inlineStr">
        <is>
          <t>Ngày</t>
        </is>
      </c>
      <c r="B3" s="5" t="inlineStr">
        <is>
          <t>Thứ</t>
        </is>
      </c>
      <c r="C3" s="5" t="inlineStr">
        <is>
          <t>Việc</t>
        </is>
      </c>
      <c r="D3" s="5" t="inlineStr">
        <is>
          <t>Nội dung chính</t>
        </is>
      </c>
    </row>
    <row r="4">
      <c r="A4" s="18" t="n">
        <v>45712</v>
      </c>
      <c r="B4" s="6" t="inlineStr">
        <is>
          <t>Thứ Hai</t>
        </is>
      </c>
      <c r="C4" s="6" t="inlineStr">
        <is>
          <t>Xin phép</t>
        </is>
      </c>
      <c r="D4" s="6" t="inlineStr">
        <is>
          <t>Nộp giấy giới thiệu của Khoa; Giám đốc phòng giao dịch đồng ý cho đặt mã QR tại quầy từ 8 giờ đến 10 giờ</t>
        </is>
      </c>
    </row>
    <row r="5">
      <c r="A5" s="18" t="n">
        <v>45714</v>
      </c>
      <c r="B5" s="6" t="inlineStr">
        <is>
          <t>Thứ Tư</t>
        </is>
      </c>
      <c r="C5" s="6" t="inlineStr">
        <is>
          <t>Thử phiếu</t>
        </is>
      </c>
      <c r="D5" s="6" t="inlineStr">
        <is>
          <t>Đọc thử với 5 khách hàng; khảo sát thử 30 người để tính Alpha sơ bộ (không gộp vào dữ liệu chính thức)</t>
        </is>
      </c>
    </row>
    <row r="6">
      <c r="A6" s="18" t="n">
        <v>45719</v>
      </c>
      <c r="B6" s="6" t="inlineStr">
        <is>
          <t>Thứ Hai</t>
        </is>
      </c>
      <c r="C6" s="6" t="inlineStr">
        <is>
          <t>Gửi đợt 1</t>
        </is>
      </c>
      <c r="D6" s="6" t="inlineStr">
        <is>
          <t>Gửi 50 email cá nhân hóa; bắt đầu mời tại quầy</t>
        </is>
      </c>
    </row>
    <row r="7">
      <c r="A7" s="18" t="n">
        <v>45720</v>
      </c>
      <c r="B7" s="6" t="inlineStr">
        <is>
          <t>Thứ Ba</t>
        </is>
      </c>
      <c r="C7" s="6" t="inlineStr">
        <is>
          <t>Gửi đợt 2</t>
        </is>
      </c>
      <c r="D7" s="6" t="inlineStr">
        <is>
          <t>Gửi tin nhắn Zalo cho 40 khách hàng đã đồng ý nhận tin</t>
        </is>
      </c>
    </row>
    <row r="8">
      <c r="A8" s="18" t="n">
        <v>45721</v>
      </c>
      <c r="B8" s="6" t="inlineStr">
        <is>
          <t>Thứ Tư</t>
        </is>
      </c>
      <c r="C8" s="6" t="inlineStr">
        <is>
          <t>Gửi đợt 3</t>
        </is>
      </c>
      <c r="D8" s="6" t="inlineStr">
        <is>
          <t>Gửi tin nhắn Zalo cho 30 khách hàng còn lại</t>
        </is>
      </c>
    </row>
    <row r="9">
      <c r="A9" s="18" t="n">
        <v>45722</v>
      </c>
      <c r="B9" s="6" t="inlineStr">
        <is>
          <t>Thứ Năm</t>
        </is>
      </c>
      <c r="C9" s="6" t="inlineStr">
        <is>
          <t>Nhắc lần 1</t>
        </is>
      </c>
      <c r="D9" s="6" t="inlineStr">
        <is>
          <t>Nhắn chung: cảm ơn người đã trả lời, mời người chưa trả lời; ghi ngày nhắc</t>
        </is>
      </c>
    </row>
    <row r="10">
      <c r="A10" s="18" t="n">
        <v>45729</v>
      </c>
      <c r="B10" s="6" t="inlineStr">
        <is>
          <t>Thứ Năm</t>
        </is>
      </c>
      <c r="C10" s="6" t="inlineStr">
        <is>
          <t>Nhắc lần 2</t>
        </is>
      </c>
      <c r="D10" s="6" t="inlineStr">
        <is>
          <t>Nhắn lần cuối, nói rõ ngày đóng khảo sát</t>
        </is>
      </c>
    </row>
    <row r="11">
      <c r="A11" s="18" t="n">
        <v>45733</v>
      </c>
      <c r="B11" s="6" t="inlineStr">
        <is>
          <t>Thứ Hai</t>
        </is>
      </c>
      <c r="C11" s="6" t="inlineStr">
        <is>
          <t>Đóng</t>
        </is>
      </c>
      <c r="D11" s="6" t="inlineStr">
        <is>
          <t>Tắt "Chấp nhận phản hồi"; tải file thô; gửi lời cảm ơn phòng giao dịch</t>
        </is>
      </c>
    </row>
  </sheetData>
  <mergeCells count="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11" customWidth="1" min="25" max="25"/>
    <col width="7" customWidth="1" min="26" max="26"/>
    <col width="9" customWidth="1" min="27" max="27"/>
    <col width="30" customWidth="1" min="28" max="28"/>
    <col width="7" customWidth="1" min="29" max="29"/>
    <col width="9" customWidth="1" min="30" max="30"/>
    <col width="8" customWidth="1" min="31" max="31"/>
    <col width="10" customWidth="1" min="32" max="32"/>
    <col width="7" customWidth="1" min="33" max="33"/>
    <col width="7" customWidth="1" min="34" max="34"/>
    <col width="7" customWidth="1" min="35" max="35"/>
    <col width="7" customWidth="1" min="36" max="36"/>
    <col width="7" customWidth="1" min="37" max="37"/>
  </cols>
  <sheetData>
    <row r="1">
      <c r="A1" s="19" t="inlineStr">
        <is>
          <t>Dấu thời gian</t>
        </is>
      </c>
      <c r="B1" s="19" t="inlineStr">
        <is>
          <t>GT</t>
        </is>
      </c>
      <c r="C1" s="19" t="inlineStr">
        <is>
          <t>TUOI</t>
        </is>
      </c>
      <c r="D1" s="19" t="inlineStr">
        <is>
          <t>THUNHAP</t>
        </is>
      </c>
      <c r="E1" s="19" t="inlineStr">
        <is>
          <t>TGSD</t>
        </is>
      </c>
      <c r="F1" s="19" t="inlineStr">
        <is>
          <t>HI1</t>
        </is>
      </c>
      <c r="G1" s="19" t="inlineStr">
        <is>
          <t>HI2</t>
        </is>
      </c>
      <c r="H1" s="19" t="inlineStr">
        <is>
          <t>HI3</t>
        </is>
      </c>
      <c r="I1" s="19" t="inlineStr">
        <is>
          <t>HI4</t>
        </is>
      </c>
      <c r="J1" s="19" t="inlineStr">
        <is>
          <t>SD1</t>
        </is>
      </c>
      <c r="K1" s="19" t="inlineStr">
        <is>
          <t>SD2</t>
        </is>
      </c>
      <c r="L1" s="19" t="inlineStr">
        <is>
          <t>SD3</t>
        </is>
      </c>
      <c r="M1" s="19" t="inlineStr">
        <is>
          <t>SD4</t>
        </is>
      </c>
      <c r="N1" s="19" t="inlineStr">
        <is>
          <t>NT1</t>
        </is>
      </c>
      <c r="O1" s="19" t="inlineStr">
        <is>
          <t>NT2</t>
        </is>
      </c>
      <c r="P1" s="19" t="inlineStr">
        <is>
          <t>NT3</t>
        </is>
      </c>
      <c r="Q1" s="19" t="inlineStr">
        <is>
          <t>NT4</t>
        </is>
      </c>
      <c r="R1" s="19" t="inlineStr">
        <is>
          <t>XH1</t>
        </is>
      </c>
      <c r="S1" s="19" t="inlineStr">
        <is>
          <t>XH2</t>
        </is>
      </c>
      <c r="T1" s="19" t="inlineStr">
        <is>
          <t>XH3</t>
        </is>
      </c>
      <c r="U1" s="19" t="inlineStr">
        <is>
          <t>XH4</t>
        </is>
      </c>
      <c r="V1" s="19" t="inlineStr">
        <is>
          <t>YD1</t>
        </is>
      </c>
      <c r="W1" s="19" t="inlineStr">
        <is>
          <t>YD2</t>
        </is>
      </c>
      <c r="X1" s="19" t="inlineStr">
        <is>
          <t>YD3</t>
        </is>
      </c>
      <c r="Y1" s="19" t="inlineStr">
        <is>
          <t>Ngày</t>
        </is>
      </c>
      <c r="Z1" s="19" t="inlineStr">
        <is>
          <t>Đợt</t>
        </is>
      </c>
      <c r="AA1" s="19" t="inlineStr">
        <is>
          <t>Số ô trống</t>
        </is>
      </c>
      <c r="AB1" s="19" t="inlineStr">
        <is>
          <t>Khóa so trùng</t>
        </is>
      </c>
      <c r="AC1" s="19" t="inlineStr">
        <is>
          <t>Trùng</t>
        </is>
      </c>
      <c r="AD1" s="19" t="inlineStr">
        <is>
          <t>Độ lệch chuẩn dòng</t>
        </is>
      </c>
      <c r="AE1" s="19" t="inlineStr">
        <is>
          <t>Giữ</t>
        </is>
      </c>
      <c r="AF1" s="19" t="inlineStr">
        <is>
          <t>Lý do loại</t>
        </is>
      </c>
      <c r="AG1" s="19" t="inlineStr">
        <is>
          <t>HI</t>
        </is>
      </c>
      <c r="AH1" s="19" t="inlineStr">
        <is>
          <t>SD</t>
        </is>
      </c>
      <c r="AI1" s="19" t="inlineStr">
        <is>
          <t>NT</t>
        </is>
      </c>
      <c r="AJ1" s="19" t="inlineStr">
        <is>
          <t>XH</t>
        </is>
      </c>
      <c r="AK1" s="19" t="inlineStr">
        <is>
          <t>YD</t>
        </is>
      </c>
    </row>
    <row r="2">
      <c r="A2" s="20" t="n">
        <v>45719.56875</v>
      </c>
      <c r="B2" s="21" t="n">
        <v>2</v>
      </c>
      <c r="C2" s="21" t="n">
        <v>2</v>
      </c>
      <c r="D2" s="21" t="n">
        <v>2</v>
      </c>
      <c r="E2" s="21" t="n">
        <v>2</v>
      </c>
      <c r="F2" s="21" t="n">
        <v>5</v>
      </c>
      <c r="G2" s="21" t="n">
        <v>4</v>
      </c>
      <c r="H2" s="21" t="n">
        <v>5</v>
      </c>
      <c r="I2" s="21" t="n">
        <v>5</v>
      </c>
      <c r="J2" s="21" t="n">
        <v>5</v>
      </c>
      <c r="K2" s="21" t="n">
        <v>5</v>
      </c>
      <c r="L2" s="21" t="n">
        <v>5</v>
      </c>
      <c r="M2" s="21" t="n">
        <v>5</v>
      </c>
      <c r="N2" s="21" t="n">
        <v>2</v>
      </c>
      <c r="O2" s="21" t="n">
        <v>3</v>
      </c>
      <c r="P2" s="21" t="n">
        <v>2</v>
      </c>
      <c r="Q2" s="21" t="n">
        <v>4</v>
      </c>
      <c r="R2" s="21" t="n">
        <v>5</v>
      </c>
      <c r="S2" s="21" t="n">
        <v>4</v>
      </c>
      <c r="T2" s="21" t="n">
        <v>4</v>
      </c>
      <c r="U2" s="21" t="n">
        <v>4</v>
      </c>
      <c r="V2" s="21" t="n">
        <v>4</v>
      </c>
      <c r="W2" s="21" t="n">
        <v>5</v>
      </c>
      <c r="X2" s="21" t="n">
        <v>4</v>
      </c>
      <c r="Y2" s="22">
        <f>INT(A2)</f>
        <v/>
      </c>
      <c r="Z2" s="21">
        <f>IF(Y2&lt;DATE(2025,3,6),1,IF(Y2&lt;DATE(2025,3,13),2,3))</f>
        <v/>
      </c>
      <c r="AA2" s="21">
        <f>COUNTBLANK(B2:X2)</f>
        <v/>
      </c>
      <c r="AB2" s="21">
        <f>B2&amp;"|"&amp;C2&amp;"|"&amp;D2&amp;"|"&amp;E2&amp;"|"&amp;F2&amp;"|"&amp;G2&amp;"|"&amp;H2&amp;"|"&amp;I2&amp;"|"&amp;J2&amp;"|"&amp;K2&amp;"|"&amp;L2&amp;"|"&amp;M2&amp;"|"&amp;N2&amp;"|"&amp;O2&amp;"|"&amp;P2&amp;"|"&amp;Q2&amp;"|"&amp;R2&amp;"|"&amp;S2&amp;"|"&amp;T2&amp;"|"&amp;U2&amp;"|"&amp;V2&amp;"|"&amp;W2&amp;"|"&amp;X2</f>
        <v/>
      </c>
      <c r="AC2" s="21">
        <f>IF(COUNTIF($AB$2:AB2,AB2)&gt;1,1,0)</f>
        <v/>
      </c>
      <c r="AD2" s="23">
        <f>STDEV(F2:X2)</f>
        <v/>
      </c>
      <c r="AE2" s="21">
        <f>IF(OR(AA2&gt;=8,AC2=1,AD2=0),0,1)</f>
        <v/>
      </c>
      <c r="AF2" s="21">
        <f>IF(AE2=1,"",IF(AC2=1,"Trùng",IF(AA2&gt;=8,"Bỏ trống "&amp;AA2&amp;" ô","Chọn cùng một mức")))</f>
        <v/>
      </c>
      <c r="AG2" s="23">
        <f>IF($AE2=1,AVERAGE(F2:I2),"")</f>
        <v/>
      </c>
      <c r="AH2" s="23">
        <f>IF($AE2=1,AVERAGE(J2:M2),"")</f>
        <v/>
      </c>
      <c r="AI2" s="23">
        <f>IF($AE2=1,AVERAGE(N2:Q2),"")</f>
        <v/>
      </c>
      <c r="AJ2" s="23">
        <f>IF($AE2=1,AVERAGE(R2:U2),"")</f>
        <v/>
      </c>
      <c r="AK2" s="23">
        <f>IF($AE2=1,AVERAGE(V2:X2),"")</f>
        <v/>
      </c>
    </row>
    <row r="3">
      <c r="A3" s="20" t="n">
        <v>45719.63680555556</v>
      </c>
      <c r="B3" s="21" t="n">
        <v>1</v>
      </c>
      <c r="C3" s="21" t="n">
        <v>2</v>
      </c>
      <c r="D3" s="21" t="n">
        <v>3</v>
      </c>
      <c r="E3" s="21" t="n">
        <v>3</v>
      </c>
      <c r="F3" s="21" t="n">
        <v>3</v>
      </c>
      <c r="G3" s="21" t="n">
        <v>2</v>
      </c>
      <c r="H3" s="21" t="n">
        <v>3</v>
      </c>
      <c r="I3" s="21" t="n">
        <v>3</v>
      </c>
      <c r="J3" s="21" t="n">
        <v>3</v>
      </c>
      <c r="K3" s="21" t="n">
        <v>3</v>
      </c>
      <c r="L3" s="21" t="n">
        <v>2</v>
      </c>
      <c r="M3" s="21" t="n">
        <v>2</v>
      </c>
      <c r="N3" s="21" t="n">
        <v>3</v>
      </c>
      <c r="O3" s="21" t="n">
        <v>3</v>
      </c>
      <c r="P3" s="21" t="n">
        <v>4</v>
      </c>
      <c r="Q3" s="21" t="n">
        <v>5</v>
      </c>
      <c r="R3" s="21" t="n">
        <v>2</v>
      </c>
      <c r="S3" s="21" t="n">
        <v>3</v>
      </c>
      <c r="T3" s="21" t="n">
        <v>3</v>
      </c>
      <c r="U3" s="21" t="n">
        <v>1</v>
      </c>
      <c r="V3" s="21" t="n">
        <v>3</v>
      </c>
      <c r="W3" s="21" t="n">
        <v>2</v>
      </c>
      <c r="X3" s="21" t="n">
        <v>1</v>
      </c>
      <c r="Y3" s="22">
        <f>INT(A3)</f>
        <v/>
      </c>
      <c r="Z3" s="21">
        <f>IF(Y3&lt;DATE(2025,3,6),1,IF(Y3&lt;DATE(2025,3,13),2,3))</f>
        <v/>
      </c>
      <c r="AA3" s="21">
        <f>COUNTBLANK(B3:X3)</f>
        <v/>
      </c>
      <c r="AB3" s="21">
        <f>B3&amp;"|"&amp;C3&amp;"|"&amp;D3&amp;"|"&amp;E3&amp;"|"&amp;F3&amp;"|"&amp;G3&amp;"|"&amp;H3&amp;"|"&amp;I3&amp;"|"&amp;J3&amp;"|"&amp;K3&amp;"|"&amp;L3&amp;"|"&amp;M3&amp;"|"&amp;N3&amp;"|"&amp;O3&amp;"|"&amp;P3&amp;"|"&amp;Q3&amp;"|"&amp;R3&amp;"|"&amp;S3&amp;"|"&amp;T3&amp;"|"&amp;U3&amp;"|"&amp;V3&amp;"|"&amp;W3&amp;"|"&amp;X3</f>
        <v/>
      </c>
      <c r="AC3" s="21">
        <f>IF(COUNTIF($AB$2:AB3,AB3)&gt;1,1,0)</f>
        <v/>
      </c>
      <c r="AD3" s="23">
        <f>STDEV(F3:X3)</f>
        <v/>
      </c>
      <c r="AE3" s="21">
        <f>IF(OR(AA3&gt;=8,AC3=1,AD3=0),0,1)</f>
        <v/>
      </c>
      <c r="AF3" s="21">
        <f>IF(AE3=1,"",IF(AC3=1,"Trùng",IF(AA3&gt;=8,"Bỏ trống "&amp;AA3&amp;" ô","Chọn cùng một mức")))</f>
        <v/>
      </c>
      <c r="AG3" s="23">
        <f>IF($AE3=1,AVERAGE(F3:I3),"")</f>
        <v/>
      </c>
      <c r="AH3" s="23">
        <f>IF($AE3=1,AVERAGE(J3:M3),"")</f>
        <v/>
      </c>
      <c r="AI3" s="23">
        <f>IF($AE3=1,AVERAGE(N3:Q3),"")</f>
        <v/>
      </c>
      <c r="AJ3" s="23">
        <f>IF($AE3=1,AVERAGE(R3:U3),"")</f>
        <v/>
      </c>
      <c r="AK3" s="23">
        <f>IF($AE3=1,AVERAGE(V3:X3),"")</f>
        <v/>
      </c>
    </row>
    <row r="4">
      <c r="A4" s="20" t="n">
        <v>45719.69097222222</v>
      </c>
      <c r="B4" s="21" t="n">
        <v>1</v>
      </c>
      <c r="C4" s="21" t="n">
        <v>1</v>
      </c>
      <c r="D4" s="21" t="n">
        <v>3</v>
      </c>
      <c r="E4" s="21" t="n">
        <v>2</v>
      </c>
      <c r="F4" s="21" t="n">
        <v>3</v>
      </c>
      <c r="G4" s="21" t="n">
        <v>3</v>
      </c>
      <c r="H4" s="21" t="n">
        <v>2</v>
      </c>
      <c r="I4" s="21" t="n">
        <v>3</v>
      </c>
      <c r="J4" s="21" t="n">
        <v>4</v>
      </c>
      <c r="K4" s="21" t="n">
        <v>5</v>
      </c>
      <c r="L4" s="21" t="n">
        <v>4</v>
      </c>
      <c r="M4" s="21" t="n">
        <v>3</v>
      </c>
      <c r="N4" s="21" t="n">
        <v>4</v>
      </c>
      <c r="O4" s="21" t="n">
        <v>4</v>
      </c>
      <c r="P4" s="21" t="n">
        <v>4</v>
      </c>
      <c r="Q4" s="21" t="n">
        <v>4</v>
      </c>
      <c r="R4" s="21" t="n">
        <v>2</v>
      </c>
      <c r="S4" s="21" t="n">
        <v>5</v>
      </c>
      <c r="T4" s="21" t="n">
        <v>4</v>
      </c>
      <c r="U4" s="21" t="n">
        <v>4</v>
      </c>
      <c r="V4" s="21" t="n">
        <v>4</v>
      </c>
      <c r="W4" s="21" t="n">
        <v>3</v>
      </c>
      <c r="X4" s="21" t="n">
        <v>4</v>
      </c>
      <c r="Y4" s="22">
        <f>INT(A4)</f>
        <v/>
      </c>
      <c r="Z4" s="21">
        <f>IF(Y4&lt;DATE(2025,3,6),1,IF(Y4&lt;DATE(2025,3,13),2,3))</f>
        <v/>
      </c>
      <c r="AA4" s="21">
        <f>COUNTBLANK(B4:X4)</f>
        <v/>
      </c>
      <c r="AB4" s="21">
        <f>B4&amp;"|"&amp;C4&amp;"|"&amp;D4&amp;"|"&amp;E4&amp;"|"&amp;F4&amp;"|"&amp;G4&amp;"|"&amp;H4&amp;"|"&amp;I4&amp;"|"&amp;J4&amp;"|"&amp;K4&amp;"|"&amp;L4&amp;"|"&amp;M4&amp;"|"&amp;N4&amp;"|"&amp;O4&amp;"|"&amp;P4&amp;"|"&amp;Q4&amp;"|"&amp;R4&amp;"|"&amp;S4&amp;"|"&amp;T4&amp;"|"&amp;U4&amp;"|"&amp;V4&amp;"|"&amp;W4&amp;"|"&amp;X4</f>
        <v/>
      </c>
      <c r="AC4" s="21">
        <f>IF(COUNTIF($AB$2:AB4,AB4)&gt;1,1,0)</f>
        <v/>
      </c>
      <c r="AD4" s="23">
        <f>STDEV(F4:X4)</f>
        <v/>
      </c>
      <c r="AE4" s="21">
        <f>IF(OR(AA4&gt;=8,AC4=1,AD4=0),0,1)</f>
        <v/>
      </c>
      <c r="AF4" s="21">
        <f>IF(AE4=1,"",IF(AC4=1,"Trùng",IF(AA4&gt;=8,"Bỏ trống "&amp;AA4&amp;" ô","Chọn cùng một mức")))</f>
        <v/>
      </c>
      <c r="AG4" s="23">
        <f>IF($AE4=1,AVERAGE(F4:I4),"")</f>
        <v/>
      </c>
      <c r="AH4" s="23">
        <f>IF($AE4=1,AVERAGE(J4:M4),"")</f>
        <v/>
      </c>
      <c r="AI4" s="23">
        <f>IF($AE4=1,AVERAGE(N4:Q4),"")</f>
        <v/>
      </c>
      <c r="AJ4" s="23">
        <f>IF($AE4=1,AVERAGE(R4:U4),"")</f>
        <v/>
      </c>
      <c r="AK4" s="23">
        <f>IF($AE4=1,AVERAGE(V4:X4),"")</f>
        <v/>
      </c>
    </row>
    <row r="5">
      <c r="A5" s="20" t="n">
        <v>45719.70833333334</v>
      </c>
      <c r="B5" s="21" t="n">
        <v>2</v>
      </c>
      <c r="C5" s="21" t="n">
        <v>2</v>
      </c>
      <c r="D5" s="21" t="n">
        <v>2</v>
      </c>
      <c r="E5" s="21" t="n">
        <v>2</v>
      </c>
      <c r="F5" s="21" t="n">
        <v>4</v>
      </c>
      <c r="G5" s="21" t="n">
        <v>3</v>
      </c>
      <c r="H5" s="21" t="n">
        <v>2</v>
      </c>
      <c r="I5" s="21" t="n">
        <v>2</v>
      </c>
      <c r="J5" s="21" t="n">
        <v>3</v>
      </c>
      <c r="K5" s="21" t="n">
        <v>3</v>
      </c>
      <c r="L5" s="21" t="n">
        <v>3</v>
      </c>
      <c r="M5" s="21" t="n">
        <v>3</v>
      </c>
      <c r="N5" s="21" t="n">
        <v>3</v>
      </c>
      <c r="O5" s="21" t="n">
        <v>2</v>
      </c>
      <c r="P5" s="21" t="n">
        <v>2</v>
      </c>
      <c r="Q5" s="21" t="n">
        <v>3</v>
      </c>
      <c r="R5" s="21" t="n">
        <v>2</v>
      </c>
      <c r="S5" s="21" t="n">
        <v>3</v>
      </c>
      <c r="T5" s="21" t="n">
        <v>3</v>
      </c>
      <c r="U5" s="21" t="n">
        <v>1</v>
      </c>
      <c r="V5" s="21" t="n">
        <v>3</v>
      </c>
      <c r="W5" s="21" t="n">
        <v>1</v>
      </c>
      <c r="X5" s="21" t="n">
        <v>3</v>
      </c>
      <c r="Y5" s="22">
        <f>INT(A5)</f>
        <v/>
      </c>
      <c r="Z5" s="21">
        <f>IF(Y5&lt;DATE(2025,3,6),1,IF(Y5&lt;DATE(2025,3,13),2,3))</f>
        <v/>
      </c>
      <c r="AA5" s="21">
        <f>COUNTBLANK(B5:X5)</f>
        <v/>
      </c>
      <c r="AB5" s="21">
        <f>B5&amp;"|"&amp;C5&amp;"|"&amp;D5&amp;"|"&amp;E5&amp;"|"&amp;F5&amp;"|"&amp;G5&amp;"|"&amp;H5&amp;"|"&amp;I5&amp;"|"&amp;J5&amp;"|"&amp;K5&amp;"|"&amp;L5&amp;"|"&amp;M5&amp;"|"&amp;N5&amp;"|"&amp;O5&amp;"|"&amp;P5&amp;"|"&amp;Q5&amp;"|"&amp;R5&amp;"|"&amp;S5&amp;"|"&amp;T5&amp;"|"&amp;U5&amp;"|"&amp;V5&amp;"|"&amp;W5&amp;"|"&amp;X5</f>
        <v/>
      </c>
      <c r="AC5" s="21">
        <f>IF(COUNTIF($AB$2:AB5,AB5)&gt;1,1,0)</f>
        <v/>
      </c>
      <c r="AD5" s="23">
        <f>STDEV(F5:X5)</f>
        <v/>
      </c>
      <c r="AE5" s="21">
        <f>IF(OR(AA5&gt;=8,AC5=1,AD5=0),0,1)</f>
        <v/>
      </c>
      <c r="AF5" s="21">
        <f>IF(AE5=1,"",IF(AC5=1,"Trùng",IF(AA5&gt;=8,"Bỏ trống "&amp;AA5&amp;" ô","Chọn cùng một mức")))</f>
        <v/>
      </c>
      <c r="AG5" s="23">
        <f>IF($AE5=1,AVERAGE(F5:I5),"")</f>
        <v/>
      </c>
      <c r="AH5" s="23">
        <f>IF($AE5=1,AVERAGE(J5:M5),"")</f>
        <v/>
      </c>
      <c r="AI5" s="23">
        <f>IF($AE5=1,AVERAGE(N5:Q5),"")</f>
        <v/>
      </c>
      <c r="AJ5" s="23">
        <f>IF($AE5=1,AVERAGE(R5:U5),"")</f>
        <v/>
      </c>
      <c r="AK5" s="23">
        <f>IF($AE5=1,AVERAGE(V5:X5),"")</f>
        <v/>
      </c>
    </row>
    <row r="6">
      <c r="A6" s="20" t="n">
        <v>45719.82638888889</v>
      </c>
      <c r="B6" s="21" t="n">
        <v>2</v>
      </c>
      <c r="C6" s="21" t="n">
        <v>4</v>
      </c>
      <c r="D6" s="21" t="n">
        <v>3</v>
      </c>
      <c r="E6" s="21" t="n">
        <v>2</v>
      </c>
      <c r="F6" s="21" t="n">
        <v>3</v>
      </c>
      <c r="G6" s="21" t="n">
        <v>4</v>
      </c>
      <c r="H6" s="21" t="n">
        <v>3</v>
      </c>
      <c r="I6" s="21" t="n">
        <v>4</v>
      </c>
      <c r="J6" s="21" t="n">
        <v>4</v>
      </c>
      <c r="K6" s="21" t="n">
        <v>4</v>
      </c>
      <c r="L6" s="21" t="n">
        <v>5</v>
      </c>
      <c r="M6" s="21" t="n">
        <v>5</v>
      </c>
      <c r="N6" s="21" t="n">
        <v>4</v>
      </c>
      <c r="O6" s="21" t="n">
        <v>3</v>
      </c>
      <c r="P6" s="21" t="n">
        <v>3</v>
      </c>
      <c r="Q6" s="21" t="n">
        <v>3</v>
      </c>
      <c r="R6" s="21" t="n">
        <v>5</v>
      </c>
      <c r="S6" s="21" t="n">
        <v>3</v>
      </c>
      <c r="T6" s="21" t="n">
        <v>4</v>
      </c>
      <c r="U6" s="21" t="n">
        <v>4</v>
      </c>
      <c r="V6" s="21" t="n">
        <v>4</v>
      </c>
      <c r="W6" s="21" t="n">
        <v>5</v>
      </c>
      <c r="X6" s="21" t="n">
        <v>5</v>
      </c>
      <c r="Y6" s="22">
        <f>INT(A6)</f>
        <v/>
      </c>
      <c r="Z6" s="21">
        <f>IF(Y6&lt;DATE(2025,3,6),1,IF(Y6&lt;DATE(2025,3,13),2,3))</f>
        <v/>
      </c>
      <c r="AA6" s="21">
        <f>COUNTBLANK(B6:X6)</f>
        <v/>
      </c>
      <c r="AB6" s="21">
        <f>B6&amp;"|"&amp;C6&amp;"|"&amp;D6&amp;"|"&amp;E6&amp;"|"&amp;F6&amp;"|"&amp;G6&amp;"|"&amp;H6&amp;"|"&amp;I6&amp;"|"&amp;J6&amp;"|"&amp;K6&amp;"|"&amp;L6&amp;"|"&amp;M6&amp;"|"&amp;N6&amp;"|"&amp;O6&amp;"|"&amp;P6&amp;"|"&amp;Q6&amp;"|"&amp;R6&amp;"|"&amp;S6&amp;"|"&amp;T6&amp;"|"&amp;U6&amp;"|"&amp;V6&amp;"|"&amp;W6&amp;"|"&amp;X6</f>
        <v/>
      </c>
      <c r="AC6" s="21">
        <f>IF(COUNTIF($AB$2:AB6,AB6)&gt;1,1,0)</f>
        <v/>
      </c>
      <c r="AD6" s="23">
        <f>STDEV(F6:X6)</f>
        <v/>
      </c>
      <c r="AE6" s="21">
        <f>IF(OR(AA6&gt;=8,AC6=1,AD6=0),0,1)</f>
        <v/>
      </c>
      <c r="AF6" s="21">
        <f>IF(AE6=1,"",IF(AC6=1,"Trùng",IF(AA6&gt;=8,"Bỏ trống "&amp;AA6&amp;" ô","Chọn cùng một mức")))</f>
        <v/>
      </c>
      <c r="AG6" s="23">
        <f>IF($AE6=1,AVERAGE(F6:I6),"")</f>
        <v/>
      </c>
      <c r="AH6" s="23">
        <f>IF($AE6=1,AVERAGE(J6:M6),"")</f>
        <v/>
      </c>
      <c r="AI6" s="23">
        <f>IF($AE6=1,AVERAGE(N6:Q6),"")</f>
        <v/>
      </c>
      <c r="AJ6" s="23">
        <f>IF($AE6=1,AVERAGE(R6:U6),"")</f>
        <v/>
      </c>
      <c r="AK6" s="23">
        <f>IF($AE6=1,AVERAGE(V6:X6),"")</f>
        <v/>
      </c>
    </row>
    <row r="7">
      <c r="A7" s="20" t="n">
        <v>45720.09583333333</v>
      </c>
      <c r="B7" s="21" t="n">
        <v>1</v>
      </c>
      <c r="C7" s="21" t="n">
        <v>3</v>
      </c>
      <c r="D7" s="21" t="n">
        <v>3</v>
      </c>
      <c r="E7" s="21" t="n">
        <v>2</v>
      </c>
      <c r="F7" s="21" t="n">
        <v>4</v>
      </c>
      <c r="G7" s="21" t="n">
        <v>4</v>
      </c>
      <c r="H7" s="21" t="n">
        <v>5</v>
      </c>
      <c r="I7" s="21" t="n">
        <v>3</v>
      </c>
      <c r="J7" s="21" t="n">
        <v>4</v>
      </c>
      <c r="K7" s="21" t="n">
        <v>4</v>
      </c>
      <c r="L7" s="21" t="n">
        <v>4</v>
      </c>
      <c r="M7" s="21" t="n">
        <v>4</v>
      </c>
      <c r="N7" s="21" t="n">
        <v>5</v>
      </c>
      <c r="O7" s="21" t="n">
        <v>5</v>
      </c>
      <c r="P7" s="21" t="n">
        <v>5</v>
      </c>
      <c r="Q7" s="21" t="n">
        <v>4</v>
      </c>
      <c r="R7" s="21" t="n">
        <v>4</v>
      </c>
      <c r="S7" s="21" t="n">
        <v>2</v>
      </c>
      <c r="T7" s="21" t="n">
        <v>4</v>
      </c>
      <c r="U7" s="21" t="n">
        <v>4</v>
      </c>
      <c r="V7" s="21" t="n">
        <v>4</v>
      </c>
      <c r="W7" s="21" t="n">
        <v>3</v>
      </c>
      <c r="X7" s="21" t="n">
        <v>4</v>
      </c>
      <c r="Y7" s="22">
        <f>INT(A7)</f>
        <v/>
      </c>
      <c r="Z7" s="21">
        <f>IF(Y7&lt;DATE(2025,3,6),1,IF(Y7&lt;DATE(2025,3,13),2,3))</f>
        <v/>
      </c>
      <c r="AA7" s="21">
        <f>COUNTBLANK(B7:X7)</f>
        <v/>
      </c>
      <c r="AB7" s="21">
        <f>B7&amp;"|"&amp;C7&amp;"|"&amp;D7&amp;"|"&amp;E7&amp;"|"&amp;F7&amp;"|"&amp;G7&amp;"|"&amp;H7&amp;"|"&amp;I7&amp;"|"&amp;J7&amp;"|"&amp;K7&amp;"|"&amp;L7&amp;"|"&amp;M7&amp;"|"&amp;N7&amp;"|"&amp;O7&amp;"|"&amp;P7&amp;"|"&amp;Q7&amp;"|"&amp;R7&amp;"|"&amp;S7&amp;"|"&amp;T7&amp;"|"&amp;U7&amp;"|"&amp;V7&amp;"|"&amp;W7&amp;"|"&amp;X7</f>
        <v/>
      </c>
      <c r="AC7" s="21">
        <f>IF(COUNTIF($AB$2:AB7,AB7)&gt;1,1,0)</f>
        <v/>
      </c>
      <c r="AD7" s="23">
        <f>STDEV(F7:X7)</f>
        <v/>
      </c>
      <c r="AE7" s="21">
        <f>IF(OR(AA7&gt;=8,AC7=1,AD7=0),0,1)</f>
        <v/>
      </c>
      <c r="AF7" s="21">
        <f>IF(AE7=1,"",IF(AC7=1,"Trùng",IF(AA7&gt;=8,"Bỏ trống "&amp;AA7&amp;" ô","Chọn cùng một mức")))</f>
        <v/>
      </c>
      <c r="AG7" s="23">
        <f>IF($AE7=1,AVERAGE(F7:I7),"")</f>
        <v/>
      </c>
      <c r="AH7" s="23">
        <f>IF($AE7=1,AVERAGE(J7:M7),"")</f>
        <v/>
      </c>
      <c r="AI7" s="23">
        <f>IF($AE7=1,AVERAGE(N7:Q7),"")</f>
        <v/>
      </c>
      <c r="AJ7" s="23">
        <f>IF($AE7=1,AVERAGE(R7:U7),"")</f>
        <v/>
      </c>
      <c r="AK7" s="23">
        <f>IF($AE7=1,AVERAGE(V7:X7),"")</f>
        <v/>
      </c>
    </row>
    <row r="8">
      <c r="A8" s="20" t="n">
        <v>45720.11388888889</v>
      </c>
      <c r="B8" s="21" t="n">
        <v>1</v>
      </c>
      <c r="C8" s="21" t="n">
        <v>3</v>
      </c>
      <c r="D8" s="21" t="n">
        <v>1</v>
      </c>
      <c r="E8" s="21" t="n">
        <v>2</v>
      </c>
      <c r="F8" s="21" t="n">
        <v>3</v>
      </c>
      <c r="G8" s="21" t="n">
        <v>4</v>
      </c>
      <c r="H8" s="21" t="n">
        <v>4</v>
      </c>
      <c r="I8" s="21" t="n">
        <v>3</v>
      </c>
      <c r="J8" s="21" t="n">
        <v>4</v>
      </c>
      <c r="K8" s="21" t="n">
        <v>3</v>
      </c>
      <c r="L8" s="21" t="n">
        <v>3</v>
      </c>
      <c r="M8" s="21" t="n">
        <v>3</v>
      </c>
      <c r="N8" s="21" t="n">
        <v>4</v>
      </c>
      <c r="O8" s="21" t="n">
        <v>4</v>
      </c>
      <c r="P8" s="21" t="n">
        <v>3</v>
      </c>
      <c r="Q8" s="21" t="n">
        <v>3</v>
      </c>
      <c r="R8" s="21" t="n">
        <v>5</v>
      </c>
      <c r="S8" s="21" t="n">
        <v>5</v>
      </c>
      <c r="T8" s="21" t="n">
        <v>4</v>
      </c>
      <c r="U8" s="21" t="n">
        <v>4</v>
      </c>
      <c r="V8" s="21" t="n">
        <v>3</v>
      </c>
      <c r="W8" s="21" t="n">
        <v>3</v>
      </c>
      <c r="X8" s="21" t="n">
        <v>4</v>
      </c>
      <c r="Y8" s="22">
        <f>INT(A8)</f>
        <v/>
      </c>
      <c r="Z8" s="21">
        <f>IF(Y8&lt;DATE(2025,3,6),1,IF(Y8&lt;DATE(2025,3,13),2,3))</f>
        <v/>
      </c>
      <c r="AA8" s="21">
        <f>COUNTBLANK(B8:X8)</f>
        <v/>
      </c>
      <c r="AB8" s="21">
        <f>B8&amp;"|"&amp;C8&amp;"|"&amp;D8&amp;"|"&amp;E8&amp;"|"&amp;F8&amp;"|"&amp;G8&amp;"|"&amp;H8&amp;"|"&amp;I8&amp;"|"&amp;J8&amp;"|"&amp;K8&amp;"|"&amp;L8&amp;"|"&amp;M8&amp;"|"&amp;N8&amp;"|"&amp;O8&amp;"|"&amp;P8&amp;"|"&amp;Q8&amp;"|"&amp;R8&amp;"|"&amp;S8&amp;"|"&amp;T8&amp;"|"&amp;U8&amp;"|"&amp;V8&amp;"|"&amp;W8&amp;"|"&amp;X8</f>
        <v/>
      </c>
      <c r="AC8" s="21">
        <f>IF(COUNTIF($AB$2:AB8,AB8)&gt;1,1,0)</f>
        <v/>
      </c>
      <c r="AD8" s="23">
        <f>STDEV(F8:X8)</f>
        <v/>
      </c>
      <c r="AE8" s="21">
        <f>IF(OR(AA8&gt;=8,AC8=1,AD8=0),0,1)</f>
        <v/>
      </c>
      <c r="AF8" s="21">
        <f>IF(AE8=1,"",IF(AC8=1,"Trùng",IF(AA8&gt;=8,"Bỏ trống "&amp;AA8&amp;" ô","Chọn cùng một mức")))</f>
        <v/>
      </c>
      <c r="AG8" s="23">
        <f>IF($AE8=1,AVERAGE(F8:I8),"")</f>
        <v/>
      </c>
      <c r="AH8" s="23">
        <f>IF($AE8=1,AVERAGE(J8:M8),"")</f>
        <v/>
      </c>
      <c r="AI8" s="23">
        <f>IF($AE8=1,AVERAGE(N8:Q8),"")</f>
        <v/>
      </c>
      <c r="AJ8" s="23">
        <f>IF($AE8=1,AVERAGE(R8:U8),"")</f>
        <v/>
      </c>
      <c r="AK8" s="23">
        <f>IF($AE8=1,AVERAGE(V8:X8),"")</f>
        <v/>
      </c>
    </row>
    <row r="9">
      <c r="A9" s="20" t="n">
        <v>45720.18333333333</v>
      </c>
      <c r="B9" s="21" t="n">
        <v>1</v>
      </c>
      <c r="C9" s="21" t="n">
        <v>2</v>
      </c>
      <c r="D9" s="21" t="n">
        <v>2</v>
      </c>
      <c r="E9" s="21" t="n">
        <v>1</v>
      </c>
      <c r="F9" s="21" t="n">
        <v>4</v>
      </c>
      <c r="G9" s="21" t="n">
        <v>3</v>
      </c>
      <c r="H9" s="21" t="n">
        <v>4</v>
      </c>
      <c r="I9" s="21" t="n">
        <v>5</v>
      </c>
      <c r="J9" s="21" t="n">
        <v>4</v>
      </c>
      <c r="K9" s="21" t="n">
        <v>4</v>
      </c>
      <c r="L9" s="21" t="n">
        <v>4</v>
      </c>
      <c r="M9" s="21" t="n">
        <v>5</v>
      </c>
      <c r="N9" s="21" t="n">
        <v>4</v>
      </c>
      <c r="O9" s="21" t="n">
        <v>4</v>
      </c>
      <c r="P9" s="21" t="n">
        <v>4</v>
      </c>
      <c r="Q9" s="21" t="n">
        <v>4</v>
      </c>
      <c r="R9" s="21" t="n">
        <v>2</v>
      </c>
      <c r="S9" s="21" t="n">
        <v>3</v>
      </c>
      <c r="T9" s="21" t="n">
        <v>4</v>
      </c>
      <c r="U9" s="21" t="n">
        <v>3</v>
      </c>
      <c r="V9" s="21" t="n">
        <v>3</v>
      </c>
      <c r="W9" s="21" t="n">
        <v>3</v>
      </c>
      <c r="X9" s="21" t="n">
        <v>3</v>
      </c>
      <c r="Y9" s="22">
        <f>INT(A9)</f>
        <v/>
      </c>
      <c r="Z9" s="21">
        <f>IF(Y9&lt;DATE(2025,3,6),1,IF(Y9&lt;DATE(2025,3,13),2,3))</f>
        <v/>
      </c>
      <c r="AA9" s="21">
        <f>COUNTBLANK(B9:X9)</f>
        <v/>
      </c>
      <c r="AB9" s="21">
        <f>B9&amp;"|"&amp;C9&amp;"|"&amp;D9&amp;"|"&amp;E9&amp;"|"&amp;F9&amp;"|"&amp;G9&amp;"|"&amp;H9&amp;"|"&amp;I9&amp;"|"&amp;J9&amp;"|"&amp;K9&amp;"|"&amp;L9&amp;"|"&amp;M9&amp;"|"&amp;N9&amp;"|"&amp;O9&amp;"|"&amp;P9&amp;"|"&amp;Q9&amp;"|"&amp;R9&amp;"|"&amp;S9&amp;"|"&amp;T9&amp;"|"&amp;U9&amp;"|"&amp;V9&amp;"|"&amp;W9&amp;"|"&amp;X9</f>
        <v/>
      </c>
      <c r="AC9" s="21">
        <f>IF(COUNTIF($AB$2:AB9,AB9)&gt;1,1,0)</f>
        <v/>
      </c>
      <c r="AD9" s="23">
        <f>STDEV(F9:X9)</f>
        <v/>
      </c>
      <c r="AE9" s="21">
        <f>IF(OR(AA9&gt;=8,AC9=1,AD9=0),0,1)</f>
        <v/>
      </c>
      <c r="AF9" s="21">
        <f>IF(AE9=1,"",IF(AC9=1,"Trùng",IF(AA9&gt;=8,"Bỏ trống "&amp;AA9&amp;" ô","Chọn cùng một mức")))</f>
        <v/>
      </c>
      <c r="AG9" s="23">
        <f>IF($AE9=1,AVERAGE(F9:I9),"")</f>
        <v/>
      </c>
      <c r="AH9" s="23">
        <f>IF($AE9=1,AVERAGE(J9:M9),"")</f>
        <v/>
      </c>
      <c r="AI9" s="23">
        <f>IF($AE9=1,AVERAGE(N9:Q9),"")</f>
        <v/>
      </c>
      <c r="AJ9" s="23">
        <f>IF($AE9=1,AVERAGE(R9:U9),"")</f>
        <v/>
      </c>
      <c r="AK9" s="23">
        <f>IF($AE9=1,AVERAGE(V9:X9),"")</f>
        <v/>
      </c>
    </row>
    <row r="10">
      <c r="A10" s="20" t="n">
        <v>45720.18402777778</v>
      </c>
      <c r="B10" s="21" t="n">
        <v>1</v>
      </c>
      <c r="C10" s="21" t="n">
        <v>2</v>
      </c>
      <c r="D10" s="21" t="n">
        <v>2</v>
      </c>
      <c r="E10" s="21" t="n">
        <v>1</v>
      </c>
      <c r="F10" s="21" t="n">
        <v>4</v>
      </c>
      <c r="G10" s="21" t="n">
        <v>3</v>
      </c>
      <c r="H10" s="21" t="n">
        <v>4</v>
      </c>
      <c r="I10" s="21" t="n">
        <v>5</v>
      </c>
      <c r="J10" s="21" t="n">
        <v>4</v>
      </c>
      <c r="K10" s="21" t="n">
        <v>4</v>
      </c>
      <c r="L10" s="21" t="n">
        <v>4</v>
      </c>
      <c r="M10" s="21" t="n">
        <v>5</v>
      </c>
      <c r="N10" s="21" t="n">
        <v>4</v>
      </c>
      <c r="O10" s="21" t="n">
        <v>4</v>
      </c>
      <c r="P10" s="21" t="n">
        <v>4</v>
      </c>
      <c r="Q10" s="21" t="n">
        <v>4</v>
      </c>
      <c r="R10" s="21" t="n">
        <v>2</v>
      </c>
      <c r="S10" s="21" t="n">
        <v>3</v>
      </c>
      <c r="T10" s="21" t="n">
        <v>4</v>
      </c>
      <c r="U10" s="21" t="n">
        <v>3</v>
      </c>
      <c r="V10" s="21" t="n">
        <v>3</v>
      </c>
      <c r="W10" s="21" t="n">
        <v>3</v>
      </c>
      <c r="X10" s="21" t="n">
        <v>3</v>
      </c>
      <c r="Y10" s="22">
        <f>INT(A10)</f>
        <v/>
      </c>
      <c r="Z10" s="21">
        <f>IF(Y10&lt;DATE(2025,3,6),1,IF(Y10&lt;DATE(2025,3,13),2,3))</f>
        <v/>
      </c>
      <c r="AA10" s="21">
        <f>COUNTBLANK(B10:X10)</f>
        <v/>
      </c>
      <c r="AB10" s="21">
        <f>B10&amp;"|"&amp;C10&amp;"|"&amp;D10&amp;"|"&amp;E10&amp;"|"&amp;F10&amp;"|"&amp;G10&amp;"|"&amp;H10&amp;"|"&amp;I10&amp;"|"&amp;J10&amp;"|"&amp;K10&amp;"|"&amp;L10&amp;"|"&amp;M10&amp;"|"&amp;N10&amp;"|"&amp;O10&amp;"|"&amp;P10&amp;"|"&amp;Q10&amp;"|"&amp;R10&amp;"|"&amp;S10&amp;"|"&amp;T10&amp;"|"&amp;U10&amp;"|"&amp;V10&amp;"|"&amp;W10&amp;"|"&amp;X10</f>
        <v/>
      </c>
      <c r="AC10" s="21">
        <f>IF(COUNTIF($AB$2:AB10,AB10)&gt;1,1,0)</f>
        <v/>
      </c>
      <c r="AD10" s="23">
        <f>STDEV(F10:X10)</f>
        <v/>
      </c>
      <c r="AE10" s="21">
        <f>IF(OR(AA10&gt;=8,AC10=1,AD10=0),0,1)</f>
        <v/>
      </c>
      <c r="AF10" s="21">
        <f>IF(AE10=1,"",IF(AC10=1,"Trùng",IF(AA10&gt;=8,"Bỏ trống "&amp;AA10&amp;" ô","Chọn cùng một mức")))</f>
        <v/>
      </c>
      <c r="AG10" s="23">
        <f>IF($AE10=1,AVERAGE(F10:I10),"")</f>
        <v/>
      </c>
      <c r="AH10" s="23">
        <f>IF($AE10=1,AVERAGE(J10:M10),"")</f>
        <v/>
      </c>
      <c r="AI10" s="23">
        <f>IF($AE10=1,AVERAGE(N10:Q10),"")</f>
        <v/>
      </c>
      <c r="AJ10" s="23">
        <f>IF($AE10=1,AVERAGE(R10:U10),"")</f>
        <v/>
      </c>
      <c r="AK10" s="23">
        <f>IF($AE10=1,AVERAGE(V10:X10),"")</f>
        <v/>
      </c>
    </row>
    <row r="11">
      <c r="A11" s="20" t="n">
        <v>45720.19583333333</v>
      </c>
      <c r="B11" s="21" t="n">
        <v>1</v>
      </c>
      <c r="C11" s="21" t="n">
        <v>4</v>
      </c>
      <c r="D11" s="21" t="n">
        <v>1</v>
      </c>
      <c r="E11" s="21" t="n">
        <v>2</v>
      </c>
      <c r="F11" s="21" t="n">
        <v>4</v>
      </c>
      <c r="G11" s="21" t="n">
        <v>5</v>
      </c>
      <c r="H11" s="21" t="n">
        <v>4</v>
      </c>
      <c r="I11" s="21" t="n">
        <v>4</v>
      </c>
      <c r="J11" s="21" t="n">
        <v>3</v>
      </c>
      <c r="K11" s="21" t="n">
        <v>3</v>
      </c>
      <c r="L11" s="21" t="n">
        <v>4</v>
      </c>
      <c r="M11" s="21" t="n">
        <v>5</v>
      </c>
      <c r="N11" s="21" t="n">
        <v>3</v>
      </c>
      <c r="O11" s="21" t="n">
        <v>4</v>
      </c>
      <c r="P11" s="21" t="n">
        <v>3</v>
      </c>
      <c r="Q11" s="21" t="n">
        <v>3</v>
      </c>
      <c r="R11" s="21" t="n">
        <v>2</v>
      </c>
      <c r="S11" s="21" t="n">
        <v>2</v>
      </c>
      <c r="T11" s="21" t="n">
        <v>2</v>
      </c>
      <c r="U11" s="21" t="n">
        <v>2</v>
      </c>
      <c r="V11" s="21" t="n">
        <v>3</v>
      </c>
      <c r="W11" s="21" t="n">
        <v>2</v>
      </c>
      <c r="X11" s="21" t="n">
        <v>2</v>
      </c>
      <c r="Y11" s="22">
        <f>INT(A11)</f>
        <v/>
      </c>
      <c r="Z11" s="21">
        <f>IF(Y11&lt;DATE(2025,3,6),1,IF(Y11&lt;DATE(2025,3,13),2,3))</f>
        <v/>
      </c>
      <c r="AA11" s="21">
        <f>COUNTBLANK(B11:X11)</f>
        <v/>
      </c>
      <c r="AB11" s="21">
        <f>B11&amp;"|"&amp;C11&amp;"|"&amp;D11&amp;"|"&amp;E11&amp;"|"&amp;F11&amp;"|"&amp;G11&amp;"|"&amp;H11&amp;"|"&amp;I11&amp;"|"&amp;J11&amp;"|"&amp;K11&amp;"|"&amp;L11&amp;"|"&amp;M11&amp;"|"&amp;N11&amp;"|"&amp;O11&amp;"|"&amp;P11&amp;"|"&amp;Q11&amp;"|"&amp;R11&amp;"|"&amp;S11&amp;"|"&amp;T11&amp;"|"&amp;U11&amp;"|"&amp;V11&amp;"|"&amp;W11&amp;"|"&amp;X11</f>
        <v/>
      </c>
      <c r="AC11" s="21">
        <f>IF(COUNTIF($AB$2:AB11,AB11)&gt;1,1,0)</f>
        <v/>
      </c>
      <c r="AD11" s="23">
        <f>STDEV(F11:X11)</f>
        <v/>
      </c>
      <c r="AE11" s="21">
        <f>IF(OR(AA11&gt;=8,AC11=1,AD11=0),0,1)</f>
        <v/>
      </c>
      <c r="AF11" s="21">
        <f>IF(AE11=1,"",IF(AC11=1,"Trùng",IF(AA11&gt;=8,"Bỏ trống "&amp;AA11&amp;" ô","Chọn cùng một mức")))</f>
        <v/>
      </c>
      <c r="AG11" s="23">
        <f>IF($AE11=1,AVERAGE(F11:I11),"")</f>
        <v/>
      </c>
      <c r="AH11" s="23">
        <f>IF($AE11=1,AVERAGE(J11:M11),"")</f>
        <v/>
      </c>
      <c r="AI11" s="23">
        <f>IF($AE11=1,AVERAGE(N11:Q11),"")</f>
        <v/>
      </c>
      <c r="AJ11" s="23">
        <f>IF($AE11=1,AVERAGE(R11:U11),"")</f>
        <v/>
      </c>
      <c r="AK11" s="23">
        <f>IF($AE11=1,AVERAGE(V11:X11),"")</f>
        <v/>
      </c>
    </row>
    <row r="12">
      <c r="A12" s="20" t="n">
        <v>45720.23888888889</v>
      </c>
      <c r="B12" s="21" t="n">
        <v>1</v>
      </c>
      <c r="C12" s="21" t="n">
        <v>3</v>
      </c>
      <c r="D12" s="21" t="n">
        <v>2</v>
      </c>
      <c r="E12" s="21" t="n">
        <v>3</v>
      </c>
      <c r="F12" s="21" t="n">
        <v>5</v>
      </c>
      <c r="G12" s="21" t="n">
        <v>5</v>
      </c>
      <c r="H12" s="21" t="n">
        <v>4</v>
      </c>
      <c r="I12" s="21" t="n">
        <v>5</v>
      </c>
      <c r="J12" s="21" t="n">
        <v>5</v>
      </c>
      <c r="K12" s="21" t="n">
        <v>5</v>
      </c>
      <c r="L12" s="21" t="n">
        <v>5</v>
      </c>
      <c r="M12" s="21" t="n">
        <v>5</v>
      </c>
      <c r="N12" s="21" t="n">
        <v>3</v>
      </c>
      <c r="O12" s="21" t="n">
        <v>3</v>
      </c>
      <c r="P12" s="21" t="n">
        <v>4</v>
      </c>
      <c r="Q12" s="21" t="n">
        <v>3</v>
      </c>
      <c r="R12" s="21" t="n">
        <v>4</v>
      </c>
      <c r="S12" s="21" t="n">
        <v>3</v>
      </c>
      <c r="T12" s="21" t="n">
        <v>5</v>
      </c>
      <c r="U12" s="21" t="n">
        <v>5</v>
      </c>
      <c r="V12" s="21" t="n">
        <v>4</v>
      </c>
      <c r="W12" s="21" t="n">
        <v>4</v>
      </c>
      <c r="X12" s="21" t="n">
        <v>4</v>
      </c>
      <c r="Y12" s="22">
        <f>INT(A12)</f>
        <v/>
      </c>
      <c r="Z12" s="21">
        <f>IF(Y12&lt;DATE(2025,3,6),1,IF(Y12&lt;DATE(2025,3,13),2,3))</f>
        <v/>
      </c>
      <c r="AA12" s="21">
        <f>COUNTBLANK(B12:X12)</f>
        <v/>
      </c>
      <c r="AB12" s="21">
        <f>B12&amp;"|"&amp;C12&amp;"|"&amp;D12&amp;"|"&amp;E12&amp;"|"&amp;F12&amp;"|"&amp;G12&amp;"|"&amp;H12&amp;"|"&amp;I12&amp;"|"&amp;J12&amp;"|"&amp;K12&amp;"|"&amp;L12&amp;"|"&amp;M12&amp;"|"&amp;N12&amp;"|"&amp;O12&amp;"|"&amp;P12&amp;"|"&amp;Q12&amp;"|"&amp;R12&amp;"|"&amp;S12&amp;"|"&amp;T12&amp;"|"&amp;U12&amp;"|"&amp;V12&amp;"|"&amp;W12&amp;"|"&amp;X12</f>
        <v/>
      </c>
      <c r="AC12" s="21">
        <f>IF(COUNTIF($AB$2:AB12,AB12)&gt;1,1,0)</f>
        <v/>
      </c>
      <c r="AD12" s="23">
        <f>STDEV(F12:X12)</f>
        <v/>
      </c>
      <c r="AE12" s="21">
        <f>IF(OR(AA12&gt;=8,AC12=1,AD12=0),0,1)</f>
        <v/>
      </c>
      <c r="AF12" s="21">
        <f>IF(AE12=1,"",IF(AC12=1,"Trùng",IF(AA12&gt;=8,"Bỏ trống "&amp;AA12&amp;" ô","Chọn cùng một mức")))</f>
        <v/>
      </c>
      <c r="AG12" s="23">
        <f>IF($AE12=1,AVERAGE(F12:I12),"")</f>
        <v/>
      </c>
      <c r="AH12" s="23">
        <f>IF($AE12=1,AVERAGE(J12:M12),"")</f>
        <v/>
      </c>
      <c r="AI12" s="23">
        <f>IF($AE12=1,AVERAGE(N12:Q12),"")</f>
        <v/>
      </c>
      <c r="AJ12" s="23">
        <f>IF($AE12=1,AVERAGE(R12:U12),"")</f>
        <v/>
      </c>
      <c r="AK12" s="23">
        <f>IF($AE12=1,AVERAGE(V12:X12),"")</f>
        <v/>
      </c>
    </row>
    <row r="13">
      <c r="A13" s="20" t="n">
        <v>45720.45208333333</v>
      </c>
      <c r="B13" s="21" t="n">
        <v>2</v>
      </c>
      <c r="C13" s="21" t="n">
        <v>2</v>
      </c>
      <c r="D13" s="21" t="n">
        <v>2</v>
      </c>
      <c r="E13" s="21" t="n">
        <v>2</v>
      </c>
      <c r="F13" s="21" t="n">
        <v>5</v>
      </c>
      <c r="G13" s="21" t="n">
        <v>5</v>
      </c>
      <c r="H13" s="21" t="n">
        <v>4</v>
      </c>
      <c r="I13" s="21" t="n">
        <v>4</v>
      </c>
      <c r="J13" s="21" t="n">
        <v>5</v>
      </c>
      <c r="K13" s="21" t="n">
        <v>5</v>
      </c>
      <c r="L13" s="21" t="n">
        <v>4</v>
      </c>
      <c r="M13" s="21" t="n">
        <v>5</v>
      </c>
      <c r="N13" s="21" t="n">
        <v>3</v>
      </c>
      <c r="O13" s="21" t="n">
        <v>3</v>
      </c>
      <c r="P13" s="21" t="n">
        <v>3</v>
      </c>
      <c r="Q13" s="21" t="n">
        <v>3</v>
      </c>
      <c r="R13" s="21" t="n">
        <v>4</v>
      </c>
      <c r="S13" s="21" t="n">
        <v>4</v>
      </c>
      <c r="T13" s="21" t="n">
        <v>3</v>
      </c>
      <c r="U13" s="21" t="n">
        <v>4</v>
      </c>
      <c r="V13" s="21" t="n">
        <v>4</v>
      </c>
      <c r="W13" s="21" t="n">
        <v>4</v>
      </c>
      <c r="X13" s="21" t="n">
        <v>4</v>
      </c>
      <c r="Y13" s="22">
        <f>INT(A13)</f>
        <v/>
      </c>
      <c r="Z13" s="21">
        <f>IF(Y13&lt;DATE(2025,3,6),1,IF(Y13&lt;DATE(2025,3,13),2,3))</f>
        <v/>
      </c>
      <c r="AA13" s="21">
        <f>COUNTBLANK(B13:X13)</f>
        <v/>
      </c>
      <c r="AB13" s="21">
        <f>B13&amp;"|"&amp;C13&amp;"|"&amp;D13&amp;"|"&amp;E13&amp;"|"&amp;F13&amp;"|"&amp;G13&amp;"|"&amp;H13&amp;"|"&amp;I13&amp;"|"&amp;J13&amp;"|"&amp;K13&amp;"|"&amp;L13&amp;"|"&amp;M13&amp;"|"&amp;N13&amp;"|"&amp;O13&amp;"|"&amp;P13&amp;"|"&amp;Q13&amp;"|"&amp;R13&amp;"|"&amp;S13&amp;"|"&amp;T13&amp;"|"&amp;U13&amp;"|"&amp;V13&amp;"|"&amp;W13&amp;"|"&amp;X13</f>
        <v/>
      </c>
      <c r="AC13" s="21">
        <f>IF(COUNTIF($AB$2:AB13,AB13)&gt;1,1,0)</f>
        <v/>
      </c>
      <c r="AD13" s="23">
        <f>STDEV(F13:X13)</f>
        <v/>
      </c>
      <c r="AE13" s="21">
        <f>IF(OR(AA13&gt;=8,AC13=1,AD13=0),0,1)</f>
        <v/>
      </c>
      <c r="AF13" s="21">
        <f>IF(AE13=1,"",IF(AC13=1,"Trùng",IF(AA13&gt;=8,"Bỏ trống "&amp;AA13&amp;" ô","Chọn cùng một mức")))</f>
        <v/>
      </c>
      <c r="AG13" s="23">
        <f>IF($AE13=1,AVERAGE(F13:I13),"")</f>
        <v/>
      </c>
      <c r="AH13" s="23">
        <f>IF($AE13=1,AVERAGE(J13:M13),"")</f>
        <v/>
      </c>
      <c r="AI13" s="23">
        <f>IF($AE13=1,AVERAGE(N13:Q13),"")</f>
        <v/>
      </c>
      <c r="AJ13" s="23">
        <f>IF($AE13=1,AVERAGE(R13:U13),"")</f>
        <v/>
      </c>
      <c r="AK13" s="23">
        <f>IF($AE13=1,AVERAGE(V13:X13),"")</f>
        <v/>
      </c>
    </row>
    <row r="14">
      <c r="A14" s="20" t="n">
        <v>45720.5625</v>
      </c>
      <c r="B14" s="21" t="n">
        <v>2</v>
      </c>
      <c r="C14" s="21" t="n">
        <v>4</v>
      </c>
      <c r="D14" s="21" t="n">
        <v>2</v>
      </c>
      <c r="E14" s="21" t="n">
        <v>1</v>
      </c>
      <c r="F14" s="21" t="n">
        <v>5</v>
      </c>
      <c r="G14" s="21" t="n">
        <v>5</v>
      </c>
      <c r="H14" s="21" t="n">
        <v>4</v>
      </c>
      <c r="I14" s="21" t="n">
        <v>5</v>
      </c>
      <c r="J14" s="21" t="n">
        <v>5</v>
      </c>
      <c r="K14" s="21" t="n">
        <v>5</v>
      </c>
      <c r="L14" s="21" t="n">
        <v>5</v>
      </c>
      <c r="M14" s="21" t="n">
        <v>5</v>
      </c>
      <c r="N14" s="21" t="n">
        <v>4</v>
      </c>
      <c r="O14" s="21" t="n">
        <v>4</v>
      </c>
      <c r="P14" s="21" t="n">
        <v>4</v>
      </c>
      <c r="Q14" s="21" t="n">
        <v>3</v>
      </c>
      <c r="R14" s="21" t="n">
        <v>4</v>
      </c>
      <c r="S14" s="21" t="n">
        <v>5</v>
      </c>
      <c r="T14" s="21" t="n">
        <v>4</v>
      </c>
      <c r="U14" s="21" t="n">
        <v>4</v>
      </c>
      <c r="V14" s="21" t="n">
        <v>4</v>
      </c>
      <c r="W14" s="21" t="n">
        <v>5</v>
      </c>
      <c r="X14" s="21" t="n">
        <v>4</v>
      </c>
      <c r="Y14" s="22">
        <f>INT(A14)</f>
        <v/>
      </c>
      <c r="Z14" s="21">
        <f>IF(Y14&lt;DATE(2025,3,6),1,IF(Y14&lt;DATE(2025,3,13),2,3))</f>
        <v/>
      </c>
      <c r="AA14" s="21">
        <f>COUNTBLANK(B14:X14)</f>
        <v/>
      </c>
      <c r="AB14" s="21">
        <f>B14&amp;"|"&amp;C14&amp;"|"&amp;D14&amp;"|"&amp;E14&amp;"|"&amp;F14&amp;"|"&amp;G14&amp;"|"&amp;H14&amp;"|"&amp;I14&amp;"|"&amp;J14&amp;"|"&amp;K14&amp;"|"&amp;L14&amp;"|"&amp;M14&amp;"|"&amp;N14&amp;"|"&amp;O14&amp;"|"&amp;P14&amp;"|"&amp;Q14&amp;"|"&amp;R14&amp;"|"&amp;S14&amp;"|"&amp;T14&amp;"|"&amp;U14&amp;"|"&amp;V14&amp;"|"&amp;W14&amp;"|"&amp;X14</f>
        <v/>
      </c>
      <c r="AC14" s="21">
        <f>IF(COUNTIF($AB$2:AB14,AB14)&gt;1,1,0)</f>
        <v/>
      </c>
      <c r="AD14" s="23">
        <f>STDEV(F14:X14)</f>
        <v/>
      </c>
      <c r="AE14" s="21">
        <f>IF(OR(AA14&gt;=8,AC14=1,AD14=0),0,1)</f>
        <v/>
      </c>
      <c r="AF14" s="21">
        <f>IF(AE14=1,"",IF(AC14=1,"Trùng",IF(AA14&gt;=8,"Bỏ trống "&amp;AA14&amp;" ô","Chọn cùng một mức")))</f>
        <v/>
      </c>
      <c r="AG14" s="23">
        <f>IF($AE14=1,AVERAGE(F14:I14),"")</f>
        <v/>
      </c>
      <c r="AH14" s="23">
        <f>IF($AE14=1,AVERAGE(J14:M14),"")</f>
        <v/>
      </c>
      <c r="AI14" s="23">
        <f>IF($AE14=1,AVERAGE(N14:Q14),"")</f>
        <v/>
      </c>
      <c r="AJ14" s="23">
        <f>IF($AE14=1,AVERAGE(R14:U14),"")</f>
        <v/>
      </c>
      <c r="AK14" s="23">
        <f>IF($AE14=1,AVERAGE(V14:X14),"")</f>
        <v/>
      </c>
    </row>
    <row r="15">
      <c r="A15" s="20" t="n">
        <v>45720.70208333333</v>
      </c>
      <c r="B15" s="21" t="n">
        <v>3</v>
      </c>
      <c r="C15" s="21" t="n">
        <v>5</v>
      </c>
      <c r="D15" s="21" t="n">
        <v>5</v>
      </c>
      <c r="E15" s="21" t="n">
        <v>4</v>
      </c>
      <c r="F15" s="21" t="n"/>
      <c r="G15" s="21" t="n">
        <v>4</v>
      </c>
      <c r="H15" s="21" t="n">
        <v>3</v>
      </c>
      <c r="I15" s="21" t="n"/>
      <c r="J15" s="21" t="n">
        <v>3</v>
      </c>
      <c r="K15" s="21" t="n">
        <v>3</v>
      </c>
      <c r="L15" s="21" t="n"/>
      <c r="M15" s="21" t="n">
        <v>3</v>
      </c>
      <c r="N15" s="21" t="n">
        <v>5</v>
      </c>
      <c r="O15" s="21" t="n"/>
      <c r="P15" s="21" t="n"/>
      <c r="Q15" s="21" t="n"/>
      <c r="R15" s="21" t="n"/>
      <c r="S15" s="21" t="n">
        <v>1</v>
      </c>
      <c r="T15" s="21" t="n"/>
      <c r="U15" s="21" t="n">
        <v>1</v>
      </c>
      <c r="V15" s="21" t="n">
        <v>2</v>
      </c>
      <c r="W15" s="21" t="n"/>
      <c r="X15" s="21" t="n">
        <v>5</v>
      </c>
      <c r="Y15" s="22">
        <f>INT(A15)</f>
        <v/>
      </c>
      <c r="Z15" s="21">
        <f>IF(Y15&lt;DATE(2025,3,6),1,IF(Y15&lt;DATE(2025,3,13),2,3))</f>
        <v/>
      </c>
      <c r="AA15" s="21">
        <f>COUNTBLANK(B15:X15)</f>
        <v/>
      </c>
      <c r="AB15" s="21">
        <f>B15&amp;"|"&amp;C15&amp;"|"&amp;D15&amp;"|"&amp;E15&amp;"|"&amp;F15&amp;"|"&amp;G15&amp;"|"&amp;H15&amp;"|"&amp;I15&amp;"|"&amp;J15&amp;"|"&amp;K15&amp;"|"&amp;L15&amp;"|"&amp;M15&amp;"|"&amp;N15&amp;"|"&amp;O15&amp;"|"&amp;P15&amp;"|"&amp;Q15&amp;"|"&amp;R15&amp;"|"&amp;S15&amp;"|"&amp;T15&amp;"|"&amp;U15&amp;"|"&amp;V15&amp;"|"&amp;W15&amp;"|"&amp;X15</f>
        <v/>
      </c>
      <c r="AC15" s="21">
        <f>IF(COUNTIF($AB$2:AB15,AB15)&gt;1,1,0)</f>
        <v/>
      </c>
      <c r="AD15" s="23">
        <f>STDEV(F15:X15)</f>
        <v/>
      </c>
      <c r="AE15" s="21">
        <f>IF(OR(AA15&gt;=8,AC15=1,AD15=0),0,1)</f>
        <v/>
      </c>
      <c r="AF15" s="21">
        <f>IF(AE15=1,"",IF(AC15=1,"Trùng",IF(AA15&gt;=8,"Bỏ trống "&amp;AA15&amp;" ô","Chọn cùng một mức")))</f>
        <v/>
      </c>
      <c r="AG15" s="23">
        <f>IF($AE15=1,AVERAGE(F15:I15),"")</f>
        <v/>
      </c>
      <c r="AH15" s="23">
        <f>IF($AE15=1,AVERAGE(J15:M15),"")</f>
        <v/>
      </c>
      <c r="AI15" s="23">
        <f>IF($AE15=1,AVERAGE(N15:Q15),"")</f>
        <v/>
      </c>
      <c r="AJ15" s="23">
        <f>IF($AE15=1,AVERAGE(R15:U15),"")</f>
        <v/>
      </c>
      <c r="AK15" s="23">
        <f>IF($AE15=1,AVERAGE(V15:X15),"")</f>
        <v/>
      </c>
    </row>
    <row r="16">
      <c r="A16" s="20" t="n">
        <v>45720.72777777778</v>
      </c>
      <c r="B16" s="21" t="n">
        <v>1</v>
      </c>
      <c r="C16" s="21" t="n">
        <v>1</v>
      </c>
      <c r="D16" s="21" t="n">
        <v>1</v>
      </c>
      <c r="E16" s="21" t="n">
        <v>2</v>
      </c>
      <c r="F16" s="21" t="n">
        <v>5</v>
      </c>
      <c r="G16" s="21" t="n">
        <v>5</v>
      </c>
      <c r="H16" s="21" t="n">
        <v>4</v>
      </c>
      <c r="I16" s="21" t="n">
        <v>5</v>
      </c>
      <c r="J16" s="21" t="n">
        <v>5</v>
      </c>
      <c r="K16" s="21" t="n">
        <v>4</v>
      </c>
      <c r="L16" s="21" t="n">
        <v>3</v>
      </c>
      <c r="M16" s="21" t="n">
        <v>4</v>
      </c>
      <c r="N16" s="21" t="n">
        <v>4</v>
      </c>
      <c r="O16" s="21" t="n">
        <v>4</v>
      </c>
      <c r="P16" s="21" t="n">
        <v>5</v>
      </c>
      <c r="Q16" s="21" t="n">
        <v>5</v>
      </c>
      <c r="R16" s="21" t="n">
        <v>5</v>
      </c>
      <c r="S16" s="21" t="n">
        <v>5</v>
      </c>
      <c r="T16" s="21" t="n">
        <v>5</v>
      </c>
      <c r="U16" s="21" t="n">
        <v>5</v>
      </c>
      <c r="V16" s="21" t="n">
        <v>5</v>
      </c>
      <c r="W16" s="21" t="n">
        <v>5</v>
      </c>
      <c r="X16" s="21" t="n">
        <v>4</v>
      </c>
      <c r="Y16" s="22">
        <f>INT(A16)</f>
        <v/>
      </c>
      <c r="Z16" s="21">
        <f>IF(Y16&lt;DATE(2025,3,6),1,IF(Y16&lt;DATE(2025,3,13),2,3))</f>
        <v/>
      </c>
      <c r="AA16" s="21">
        <f>COUNTBLANK(B16:X16)</f>
        <v/>
      </c>
      <c r="AB16" s="21">
        <f>B16&amp;"|"&amp;C16&amp;"|"&amp;D16&amp;"|"&amp;E16&amp;"|"&amp;F16&amp;"|"&amp;G16&amp;"|"&amp;H16&amp;"|"&amp;I16&amp;"|"&amp;J16&amp;"|"&amp;K16&amp;"|"&amp;L16&amp;"|"&amp;M16&amp;"|"&amp;N16&amp;"|"&amp;O16&amp;"|"&amp;P16&amp;"|"&amp;Q16&amp;"|"&amp;R16&amp;"|"&amp;S16&amp;"|"&amp;T16&amp;"|"&amp;U16&amp;"|"&amp;V16&amp;"|"&amp;W16&amp;"|"&amp;X16</f>
        <v/>
      </c>
      <c r="AC16" s="21">
        <f>IF(COUNTIF($AB$2:AB16,AB16)&gt;1,1,0)</f>
        <v/>
      </c>
      <c r="AD16" s="23">
        <f>STDEV(F16:X16)</f>
        <v/>
      </c>
      <c r="AE16" s="21">
        <f>IF(OR(AA16&gt;=8,AC16=1,AD16=0),0,1)</f>
        <v/>
      </c>
      <c r="AF16" s="21">
        <f>IF(AE16=1,"",IF(AC16=1,"Trùng",IF(AA16&gt;=8,"Bỏ trống "&amp;AA16&amp;" ô","Chọn cùng một mức")))</f>
        <v/>
      </c>
      <c r="AG16" s="23">
        <f>IF($AE16=1,AVERAGE(F16:I16),"")</f>
        <v/>
      </c>
      <c r="AH16" s="23">
        <f>IF($AE16=1,AVERAGE(J16:M16),"")</f>
        <v/>
      </c>
      <c r="AI16" s="23">
        <f>IF($AE16=1,AVERAGE(N16:Q16),"")</f>
        <v/>
      </c>
      <c r="AJ16" s="23">
        <f>IF($AE16=1,AVERAGE(R16:U16),"")</f>
        <v/>
      </c>
      <c r="AK16" s="23">
        <f>IF($AE16=1,AVERAGE(V16:X16),"")</f>
        <v/>
      </c>
    </row>
    <row r="17">
      <c r="A17" s="20" t="n">
        <v>45720.83819444444</v>
      </c>
      <c r="B17" s="21" t="n">
        <v>2</v>
      </c>
      <c r="C17" s="21" t="n">
        <v>1</v>
      </c>
      <c r="D17" s="21" t="n">
        <v>2</v>
      </c>
      <c r="E17" s="21" t="n">
        <v>2</v>
      </c>
      <c r="F17" s="21" t="n">
        <v>3</v>
      </c>
      <c r="G17" s="21" t="n">
        <v>3</v>
      </c>
      <c r="H17" s="21" t="n">
        <v>3</v>
      </c>
      <c r="I17" s="21" t="n">
        <v>3</v>
      </c>
      <c r="J17" s="21" t="n">
        <v>3</v>
      </c>
      <c r="K17" s="21" t="n">
        <v>3</v>
      </c>
      <c r="L17" s="21" t="n">
        <v>3</v>
      </c>
      <c r="M17" s="21" t="n">
        <v>3</v>
      </c>
      <c r="N17" s="21" t="n">
        <v>3</v>
      </c>
      <c r="O17" s="21" t="n">
        <v>4</v>
      </c>
      <c r="P17" s="21" t="n">
        <v>3</v>
      </c>
      <c r="Q17" s="21" t="n">
        <v>5</v>
      </c>
      <c r="R17" s="21" t="n">
        <v>4</v>
      </c>
      <c r="S17" s="21" t="n">
        <v>4</v>
      </c>
      <c r="T17" s="21" t="n">
        <v>4</v>
      </c>
      <c r="U17" s="21" t="n">
        <v>3</v>
      </c>
      <c r="V17" s="21" t="n">
        <v>3</v>
      </c>
      <c r="W17" s="21" t="n">
        <v>4</v>
      </c>
      <c r="X17" s="21" t="n">
        <v>2</v>
      </c>
      <c r="Y17" s="22">
        <f>INT(A17)</f>
        <v/>
      </c>
      <c r="Z17" s="21">
        <f>IF(Y17&lt;DATE(2025,3,6),1,IF(Y17&lt;DATE(2025,3,13),2,3))</f>
        <v/>
      </c>
      <c r="AA17" s="21">
        <f>COUNTBLANK(B17:X17)</f>
        <v/>
      </c>
      <c r="AB17" s="21">
        <f>B17&amp;"|"&amp;C17&amp;"|"&amp;D17&amp;"|"&amp;E17&amp;"|"&amp;F17&amp;"|"&amp;G17&amp;"|"&amp;H17&amp;"|"&amp;I17&amp;"|"&amp;J17&amp;"|"&amp;K17&amp;"|"&amp;L17&amp;"|"&amp;M17&amp;"|"&amp;N17&amp;"|"&amp;O17&amp;"|"&amp;P17&amp;"|"&amp;Q17&amp;"|"&amp;R17&amp;"|"&amp;S17&amp;"|"&amp;T17&amp;"|"&amp;U17&amp;"|"&amp;V17&amp;"|"&amp;W17&amp;"|"&amp;X17</f>
        <v/>
      </c>
      <c r="AC17" s="21">
        <f>IF(COUNTIF($AB$2:AB17,AB17)&gt;1,1,0)</f>
        <v/>
      </c>
      <c r="AD17" s="23">
        <f>STDEV(F17:X17)</f>
        <v/>
      </c>
      <c r="AE17" s="21">
        <f>IF(OR(AA17&gt;=8,AC17=1,AD17=0),0,1)</f>
        <v/>
      </c>
      <c r="AF17" s="21">
        <f>IF(AE17=1,"",IF(AC17=1,"Trùng",IF(AA17&gt;=8,"Bỏ trống "&amp;AA17&amp;" ô","Chọn cùng một mức")))</f>
        <v/>
      </c>
      <c r="AG17" s="23">
        <f>IF($AE17=1,AVERAGE(F17:I17),"")</f>
        <v/>
      </c>
      <c r="AH17" s="23">
        <f>IF($AE17=1,AVERAGE(J17:M17),"")</f>
        <v/>
      </c>
      <c r="AI17" s="23">
        <f>IF($AE17=1,AVERAGE(N17:Q17),"")</f>
        <v/>
      </c>
      <c r="AJ17" s="23">
        <f>IF($AE17=1,AVERAGE(R17:U17),"")</f>
        <v/>
      </c>
      <c r="AK17" s="23">
        <f>IF($AE17=1,AVERAGE(V17:X17),"")</f>
        <v/>
      </c>
    </row>
    <row r="18">
      <c r="A18" s="20" t="n">
        <v>45720.85555555556</v>
      </c>
      <c r="B18" s="21" t="n">
        <v>1</v>
      </c>
      <c r="C18" s="21" t="n">
        <v>4</v>
      </c>
      <c r="D18" s="21" t="n">
        <v>2</v>
      </c>
      <c r="E18" s="21" t="n">
        <v>3</v>
      </c>
      <c r="F18" s="21" t="n">
        <v>5</v>
      </c>
      <c r="G18" s="21" t="n">
        <v>4</v>
      </c>
      <c r="H18" s="21" t="n">
        <v>3</v>
      </c>
      <c r="I18" s="21" t="n">
        <v>4</v>
      </c>
      <c r="J18" s="21" t="n">
        <v>3</v>
      </c>
      <c r="K18" s="21" t="n">
        <v>4</v>
      </c>
      <c r="L18" s="21" t="n">
        <v>4</v>
      </c>
      <c r="M18" s="21" t="n">
        <v>3</v>
      </c>
      <c r="N18" s="21" t="n">
        <v>5</v>
      </c>
      <c r="O18" s="21" t="n">
        <v>4</v>
      </c>
      <c r="P18" s="21" t="n">
        <v>5</v>
      </c>
      <c r="Q18" s="21" t="n">
        <v>4</v>
      </c>
      <c r="R18" s="21" t="n">
        <v>5</v>
      </c>
      <c r="S18" s="21" t="n">
        <v>3</v>
      </c>
      <c r="T18" s="21" t="n">
        <v>5</v>
      </c>
      <c r="U18" s="21" t="n">
        <v>4</v>
      </c>
      <c r="V18" s="21" t="n">
        <v>5</v>
      </c>
      <c r="W18" s="21" t="n">
        <v>5</v>
      </c>
      <c r="X18" s="21" t="n">
        <v>4</v>
      </c>
      <c r="Y18" s="22">
        <f>INT(A18)</f>
        <v/>
      </c>
      <c r="Z18" s="21">
        <f>IF(Y18&lt;DATE(2025,3,6),1,IF(Y18&lt;DATE(2025,3,13),2,3))</f>
        <v/>
      </c>
      <c r="AA18" s="21">
        <f>COUNTBLANK(B18:X18)</f>
        <v/>
      </c>
      <c r="AB18" s="21">
        <f>B18&amp;"|"&amp;C18&amp;"|"&amp;D18&amp;"|"&amp;E18&amp;"|"&amp;F18&amp;"|"&amp;G18&amp;"|"&amp;H18&amp;"|"&amp;I18&amp;"|"&amp;J18&amp;"|"&amp;K18&amp;"|"&amp;L18&amp;"|"&amp;M18&amp;"|"&amp;N18&amp;"|"&amp;O18&amp;"|"&amp;P18&amp;"|"&amp;Q18&amp;"|"&amp;R18&amp;"|"&amp;S18&amp;"|"&amp;T18&amp;"|"&amp;U18&amp;"|"&amp;V18&amp;"|"&amp;W18&amp;"|"&amp;X18</f>
        <v/>
      </c>
      <c r="AC18" s="21">
        <f>IF(COUNTIF($AB$2:AB18,AB18)&gt;1,1,0)</f>
        <v/>
      </c>
      <c r="AD18" s="23">
        <f>STDEV(F18:X18)</f>
        <v/>
      </c>
      <c r="AE18" s="21">
        <f>IF(OR(AA18&gt;=8,AC18=1,AD18=0),0,1)</f>
        <v/>
      </c>
      <c r="AF18" s="21">
        <f>IF(AE18=1,"",IF(AC18=1,"Trùng",IF(AA18&gt;=8,"Bỏ trống "&amp;AA18&amp;" ô","Chọn cùng một mức")))</f>
        <v/>
      </c>
      <c r="AG18" s="23">
        <f>IF($AE18=1,AVERAGE(F18:I18),"")</f>
        <v/>
      </c>
      <c r="AH18" s="23">
        <f>IF($AE18=1,AVERAGE(J18:M18),"")</f>
        <v/>
      </c>
      <c r="AI18" s="23">
        <f>IF($AE18=1,AVERAGE(N18:Q18),"")</f>
        <v/>
      </c>
      <c r="AJ18" s="23">
        <f>IF($AE18=1,AVERAGE(R18:U18),"")</f>
        <v/>
      </c>
      <c r="AK18" s="23">
        <f>IF($AE18=1,AVERAGE(V18:X18),"")</f>
        <v/>
      </c>
    </row>
    <row r="19">
      <c r="A19" s="20" t="n">
        <v>45721.02916666667</v>
      </c>
      <c r="B19" s="21" t="n">
        <v>2</v>
      </c>
      <c r="C19" s="21" t="n">
        <v>1</v>
      </c>
      <c r="D19" s="21" t="n">
        <v>2</v>
      </c>
      <c r="E19" s="21" t="n">
        <v>2</v>
      </c>
      <c r="F19" s="21" t="n">
        <v>5</v>
      </c>
      <c r="G19" s="21" t="n">
        <v>5</v>
      </c>
      <c r="H19" s="21" t="n">
        <v>5</v>
      </c>
      <c r="I19" s="21" t="n">
        <v>5</v>
      </c>
      <c r="J19" s="21" t="n">
        <v>3</v>
      </c>
      <c r="K19" s="21" t="n">
        <v>4</v>
      </c>
      <c r="L19" s="21" t="n">
        <v>4</v>
      </c>
      <c r="M19" s="21" t="n">
        <v>4</v>
      </c>
      <c r="N19" s="21" t="n">
        <v>4</v>
      </c>
      <c r="O19" s="21" t="n">
        <v>4</v>
      </c>
      <c r="P19" s="21" t="n">
        <v>5</v>
      </c>
      <c r="Q19" s="21" t="n">
        <v>5</v>
      </c>
      <c r="R19" s="21" t="n">
        <v>5</v>
      </c>
      <c r="S19" s="21" t="n">
        <v>4</v>
      </c>
      <c r="T19" s="21" t="n">
        <v>5</v>
      </c>
      <c r="U19" s="21" t="n">
        <v>4</v>
      </c>
      <c r="V19" s="21" t="n">
        <v>5</v>
      </c>
      <c r="W19" s="21" t="n">
        <v>5</v>
      </c>
      <c r="X19" s="21" t="n">
        <v>4</v>
      </c>
      <c r="Y19" s="22">
        <f>INT(A19)</f>
        <v/>
      </c>
      <c r="Z19" s="21">
        <f>IF(Y19&lt;DATE(2025,3,6),1,IF(Y19&lt;DATE(2025,3,13),2,3))</f>
        <v/>
      </c>
      <c r="AA19" s="21">
        <f>COUNTBLANK(B19:X19)</f>
        <v/>
      </c>
      <c r="AB19" s="21">
        <f>B19&amp;"|"&amp;C19&amp;"|"&amp;D19&amp;"|"&amp;E19&amp;"|"&amp;F19&amp;"|"&amp;G19&amp;"|"&amp;H19&amp;"|"&amp;I19&amp;"|"&amp;J19&amp;"|"&amp;K19&amp;"|"&amp;L19&amp;"|"&amp;M19&amp;"|"&amp;N19&amp;"|"&amp;O19&amp;"|"&amp;P19&amp;"|"&amp;Q19&amp;"|"&amp;R19&amp;"|"&amp;S19&amp;"|"&amp;T19&amp;"|"&amp;U19&amp;"|"&amp;V19&amp;"|"&amp;W19&amp;"|"&amp;X19</f>
        <v/>
      </c>
      <c r="AC19" s="21">
        <f>IF(COUNTIF($AB$2:AB19,AB19)&gt;1,1,0)</f>
        <v/>
      </c>
      <c r="AD19" s="23">
        <f>STDEV(F19:X19)</f>
        <v/>
      </c>
      <c r="AE19" s="21">
        <f>IF(OR(AA19&gt;=8,AC19=1,AD19=0),0,1)</f>
        <v/>
      </c>
      <c r="AF19" s="21">
        <f>IF(AE19=1,"",IF(AC19=1,"Trùng",IF(AA19&gt;=8,"Bỏ trống "&amp;AA19&amp;" ô","Chọn cùng một mức")))</f>
        <v/>
      </c>
      <c r="AG19" s="23">
        <f>IF($AE19=1,AVERAGE(F19:I19),"")</f>
        <v/>
      </c>
      <c r="AH19" s="23">
        <f>IF($AE19=1,AVERAGE(J19:M19),"")</f>
        <v/>
      </c>
      <c r="AI19" s="23">
        <f>IF($AE19=1,AVERAGE(N19:Q19),"")</f>
        <v/>
      </c>
      <c r="AJ19" s="23">
        <f>IF($AE19=1,AVERAGE(R19:U19),"")</f>
        <v/>
      </c>
      <c r="AK19" s="23">
        <f>IF($AE19=1,AVERAGE(V19:X19),"")</f>
        <v/>
      </c>
    </row>
    <row r="20">
      <c r="A20" s="20" t="n">
        <v>45721.03125</v>
      </c>
      <c r="B20" s="21" t="n">
        <v>2</v>
      </c>
      <c r="C20" s="21" t="n">
        <v>1</v>
      </c>
      <c r="D20" s="21" t="n">
        <v>2</v>
      </c>
      <c r="E20" s="21" t="n">
        <v>1</v>
      </c>
      <c r="F20" s="21" t="n">
        <v>3</v>
      </c>
      <c r="G20" s="21" t="n">
        <v>3</v>
      </c>
      <c r="H20" s="21" t="n">
        <v>3</v>
      </c>
      <c r="I20" s="21" t="n">
        <v>5</v>
      </c>
      <c r="J20" s="21" t="n">
        <v>5</v>
      </c>
      <c r="K20" s="21" t="n">
        <v>5</v>
      </c>
      <c r="L20" s="21" t="n">
        <v>4</v>
      </c>
      <c r="M20" s="21" t="n">
        <v>3</v>
      </c>
      <c r="N20" s="21" t="n">
        <v>4</v>
      </c>
      <c r="O20" s="21" t="n">
        <v>3</v>
      </c>
      <c r="P20" s="21" t="n">
        <v>3</v>
      </c>
      <c r="Q20" s="21" t="n">
        <v>4</v>
      </c>
      <c r="R20" s="21" t="n">
        <v>3</v>
      </c>
      <c r="S20" s="21" t="n">
        <v>1</v>
      </c>
      <c r="T20" s="21" t="n">
        <v>3</v>
      </c>
      <c r="U20" s="21" t="n">
        <v>2</v>
      </c>
      <c r="V20" s="21" t="n">
        <v>3</v>
      </c>
      <c r="W20" s="21" t="n">
        <v>4</v>
      </c>
      <c r="X20" s="21" t="n">
        <v>5</v>
      </c>
      <c r="Y20" s="22">
        <f>INT(A20)</f>
        <v/>
      </c>
      <c r="Z20" s="21">
        <f>IF(Y20&lt;DATE(2025,3,6),1,IF(Y20&lt;DATE(2025,3,13),2,3))</f>
        <v/>
      </c>
      <c r="AA20" s="21">
        <f>COUNTBLANK(B20:X20)</f>
        <v/>
      </c>
      <c r="AB20" s="21">
        <f>B20&amp;"|"&amp;C20&amp;"|"&amp;D20&amp;"|"&amp;E20&amp;"|"&amp;F20&amp;"|"&amp;G20&amp;"|"&amp;H20&amp;"|"&amp;I20&amp;"|"&amp;J20&amp;"|"&amp;K20&amp;"|"&amp;L20&amp;"|"&amp;M20&amp;"|"&amp;N20&amp;"|"&amp;O20&amp;"|"&amp;P20&amp;"|"&amp;Q20&amp;"|"&amp;R20&amp;"|"&amp;S20&amp;"|"&amp;T20&amp;"|"&amp;U20&amp;"|"&amp;V20&amp;"|"&amp;W20&amp;"|"&amp;X20</f>
        <v/>
      </c>
      <c r="AC20" s="21">
        <f>IF(COUNTIF($AB$2:AB20,AB20)&gt;1,1,0)</f>
        <v/>
      </c>
      <c r="AD20" s="23">
        <f>STDEV(F20:X20)</f>
        <v/>
      </c>
      <c r="AE20" s="21">
        <f>IF(OR(AA20&gt;=8,AC20=1,AD20=0),0,1)</f>
        <v/>
      </c>
      <c r="AF20" s="21">
        <f>IF(AE20=1,"",IF(AC20=1,"Trùng",IF(AA20&gt;=8,"Bỏ trống "&amp;AA20&amp;" ô","Chọn cùng một mức")))</f>
        <v/>
      </c>
      <c r="AG20" s="23">
        <f>IF($AE20=1,AVERAGE(F20:I20),"")</f>
        <v/>
      </c>
      <c r="AH20" s="23">
        <f>IF($AE20=1,AVERAGE(J20:M20),"")</f>
        <v/>
      </c>
      <c r="AI20" s="23">
        <f>IF($AE20=1,AVERAGE(N20:Q20),"")</f>
        <v/>
      </c>
      <c r="AJ20" s="23">
        <f>IF($AE20=1,AVERAGE(R20:U20),"")</f>
        <v/>
      </c>
      <c r="AK20" s="23">
        <f>IF($AE20=1,AVERAGE(V20:X20),"")</f>
        <v/>
      </c>
    </row>
    <row r="21">
      <c r="A21" s="20" t="n">
        <v>45721.12638888889</v>
      </c>
      <c r="B21" s="21" t="n">
        <v>2</v>
      </c>
      <c r="C21" s="21" t="n">
        <v>2</v>
      </c>
      <c r="D21" s="21" t="n">
        <v>2</v>
      </c>
      <c r="E21" s="21" t="n">
        <v>3</v>
      </c>
      <c r="F21" s="21" t="n">
        <v>3</v>
      </c>
      <c r="G21" s="21" t="n">
        <v>2</v>
      </c>
      <c r="H21" s="21" t="n">
        <v>3</v>
      </c>
      <c r="I21" s="21" t="n">
        <v>3</v>
      </c>
      <c r="J21" s="21" t="n">
        <v>4</v>
      </c>
      <c r="K21" s="21" t="n">
        <v>2</v>
      </c>
      <c r="L21" s="21" t="n">
        <v>3</v>
      </c>
      <c r="M21" s="21" t="n">
        <v>3</v>
      </c>
      <c r="N21" s="21" t="n">
        <v>3</v>
      </c>
      <c r="O21" s="21" t="n">
        <v>3</v>
      </c>
      <c r="P21" s="21" t="n">
        <v>2</v>
      </c>
      <c r="Q21" s="21" t="n">
        <v>3</v>
      </c>
      <c r="R21" s="21" t="n">
        <v>3</v>
      </c>
      <c r="S21" s="21" t="n">
        <v>3</v>
      </c>
      <c r="T21" s="21" t="n">
        <v>2</v>
      </c>
      <c r="U21" s="21" t="n">
        <v>3</v>
      </c>
      <c r="V21" s="21" t="n">
        <v>3</v>
      </c>
      <c r="W21" s="21" t="n">
        <v>3</v>
      </c>
      <c r="X21" s="21" t="n">
        <v>2</v>
      </c>
      <c r="Y21" s="22">
        <f>INT(A21)</f>
        <v/>
      </c>
      <c r="Z21" s="21">
        <f>IF(Y21&lt;DATE(2025,3,6),1,IF(Y21&lt;DATE(2025,3,13),2,3))</f>
        <v/>
      </c>
      <c r="AA21" s="21">
        <f>COUNTBLANK(B21:X21)</f>
        <v/>
      </c>
      <c r="AB21" s="21">
        <f>B21&amp;"|"&amp;C21&amp;"|"&amp;D21&amp;"|"&amp;E21&amp;"|"&amp;F21&amp;"|"&amp;G21&amp;"|"&amp;H21&amp;"|"&amp;I21&amp;"|"&amp;J21&amp;"|"&amp;K21&amp;"|"&amp;L21&amp;"|"&amp;M21&amp;"|"&amp;N21&amp;"|"&amp;O21&amp;"|"&amp;P21&amp;"|"&amp;Q21&amp;"|"&amp;R21&amp;"|"&amp;S21&amp;"|"&amp;T21&amp;"|"&amp;U21&amp;"|"&amp;V21&amp;"|"&amp;W21&amp;"|"&amp;X21</f>
        <v/>
      </c>
      <c r="AC21" s="21">
        <f>IF(COUNTIF($AB$2:AB21,AB21)&gt;1,1,0)</f>
        <v/>
      </c>
      <c r="AD21" s="23">
        <f>STDEV(F21:X21)</f>
        <v/>
      </c>
      <c r="AE21" s="21">
        <f>IF(OR(AA21&gt;=8,AC21=1,AD21=0),0,1)</f>
        <v/>
      </c>
      <c r="AF21" s="21">
        <f>IF(AE21=1,"",IF(AC21=1,"Trùng",IF(AA21&gt;=8,"Bỏ trống "&amp;AA21&amp;" ô","Chọn cùng một mức")))</f>
        <v/>
      </c>
      <c r="AG21" s="23">
        <f>IF($AE21=1,AVERAGE(F21:I21),"")</f>
        <v/>
      </c>
      <c r="AH21" s="23">
        <f>IF($AE21=1,AVERAGE(J21:M21),"")</f>
        <v/>
      </c>
      <c r="AI21" s="23">
        <f>IF($AE21=1,AVERAGE(N21:Q21),"")</f>
        <v/>
      </c>
      <c r="AJ21" s="23">
        <f>IF($AE21=1,AVERAGE(R21:U21),"")</f>
        <v/>
      </c>
      <c r="AK21" s="23">
        <f>IF($AE21=1,AVERAGE(V21:X21),"")</f>
        <v/>
      </c>
    </row>
    <row r="22">
      <c r="A22" s="20" t="n">
        <v>45721.38472222222</v>
      </c>
      <c r="B22" s="21" t="n">
        <v>2</v>
      </c>
      <c r="C22" s="21" t="n">
        <v>3</v>
      </c>
      <c r="D22" s="21" t="n">
        <v>1</v>
      </c>
      <c r="E22" s="21" t="n">
        <v>2</v>
      </c>
      <c r="F22" s="21" t="n">
        <v>3</v>
      </c>
      <c r="G22" s="21" t="n">
        <v>3</v>
      </c>
      <c r="H22" s="21" t="n">
        <v>4</v>
      </c>
      <c r="I22" s="21" t="n">
        <v>4</v>
      </c>
      <c r="J22" s="21" t="n">
        <v>3</v>
      </c>
      <c r="K22" s="21" t="n">
        <v>3</v>
      </c>
      <c r="L22" s="21" t="n">
        <v>3</v>
      </c>
      <c r="M22" s="21" t="n">
        <v>3</v>
      </c>
      <c r="N22" s="21" t="n">
        <v>4</v>
      </c>
      <c r="O22" s="21" t="n">
        <v>4</v>
      </c>
      <c r="P22" s="21" t="n">
        <v>4</v>
      </c>
      <c r="Q22" s="21" t="n">
        <v>4</v>
      </c>
      <c r="R22" s="21" t="n">
        <v>4</v>
      </c>
      <c r="S22" s="21" t="n">
        <v>3</v>
      </c>
      <c r="T22" s="21" t="n">
        <v>3</v>
      </c>
      <c r="U22" s="21" t="n">
        <v>4</v>
      </c>
      <c r="V22" s="21" t="n">
        <v>4</v>
      </c>
      <c r="W22" s="21" t="n">
        <v>3</v>
      </c>
      <c r="X22" s="21" t="n">
        <v>3</v>
      </c>
      <c r="Y22" s="22">
        <f>INT(A22)</f>
        <v/>
      </c>
      <c r="Z22" s="21">
        <f>IF(Y22&lt;DATE(2025,3,6),1,IF(Y22&lt;DATE(2025,3,13),2,3))</f>
        <v/>
      </c>
      <c r="AA22" s="21">
        <f>COUNTBLANK(B22:X22)</f>
        <v/>
      </c>
      <c r="AB22" s="21">
        <f>B22&amp;"|"&amp;C22&amp;"|"&amp;D22&amp;"|"&amp;E22&amp;"|"&amp;F22&amp;"|"&amp;G22&amp;"|"&amp;H22&amp;"|"&amp;I22&amp;"|"&amp;J22&amp;"|"&amp;K22&amp;"|"&amp;L22&amp;"|"&amp;M22&amp;"|"&amp;N22&amp;"|"&amp;O22&amp;"|"&amp;P22&amp;"|"&amp;Q22&amp;"|"&amp;R22&amp;"|"&amp;S22&amp;"|"&amp;T22&amp;"|"&amp;U22&amp;"|"&amp;V22&amp;"|"&amp;W22&amp;"|"&amp;X22</f>
        <v/>
      </c>
      <c r="AC22" s="21">
        <f>IF(COUNTIF($AB$2:AB22,AB22)&gt;1,1,0)</f>
        <v/>
      </c>
      <c r="AD22" s="23">
        <f>STDEV(F22:X22)</f>
        <v/>
      </c>
      <c r="AE22" s="21">
        <f>IF(OR(AA22&gt;=8,AC22=1,AD22=0),0,1)</f>
        <v/>
      </c>
      <c r="AF22" s="21">
        <f>IF(AE22=1,"",IF(AC22=1,"Trùng",IF(AA22&gt;=8,"Bỏ trống "&amp;AA22&amp;" ô","Chọn cùng một mức")))</f>
        <v/>
      </c>
      <c r="AG22" s="23">
        <f>IF($AE22=1,AVERAGE(F22:I22),"")</f>
        <v/>
      </c>
      <c r="AH22" s="23">
        <f>IF($AE22=1,AVERAGE(J22:M22),"")</f>
        <v/>
      </c>
      <c r="AI22" s="23">
        <f>IF($AE22=1,AVERAGE(N22:Q22),"")</f>
        <v/>
      </c>
      <c r="AJ22" s="23">
        <f>IF($AE22=1,AVERAGE(R22:U22),"")</f>
        <v/>
      </c>
      <c r="AK22" s="23">
        <f>IF($AE22=1,AVERAGE(V22:X22),"")</f>
        <v/>
      </c>
    </row>
    <row r="23">
      <c r="A23" s="20" t="n">
        <v>45721.46875</v>
      </c>
      <c r="B23" s="21" t="n">
        <v>1</v>
      </c>
      <c r="C23" s="21" t="n">
        <v>2</v>
      </c>
      <c r="D23" s="21" t="n">
        <v>2</v>
      </c>
      <c r="E23" s="21" t="n">
        <v>2</v>
      </c>
      <c r="F23" s="21" t="n">
        <v>5</v>
      </c>
      <c r="G23" s="21" t="n">
        <v>4</v>
      </c>
      <c r="H23" s="21" t="n">
        <v>4</v>
      </c>
      <c r="I23" s="21" t="n">
        <v>4</v>
      </c>
      <c r="J23" s="21" t="n">
        <v>4</v>
      </c>
      <c r="K23" s="21" t="n">
        <v>4</v>
      </c>
      <c r="L23" s="21" t="n">
        <v>4</v>
      </c>
      <c r="M23" s="21" t="n">
        <v>3</v>
      </c>
      <c r="N23" s="21" t="n">
        <v>3</v>
      </c>
      <c r="O23" s="21" t="n">
        <v>4</v>
      </c>
      <c r="P23" s="21" t="n">
        <v>3</v>
      </c>
      <c r="Q23" s="21" t="n">
        <v>3</v>
      </c>
      <c r="R23" s="21" t="n">
        <v>3</v>
      </c>
      <c r="S23" s="21" t="n">
        <v>4</v>
      </c>
      <c r="T23" s="21" t="n">
        <v>4</v>
      </c>
      <c r="U23" s="21" t="n">
        <v>3</v>
      </c>
      <c r="V23" s="21" t="n">
        <v>4</v>
      </c>
      <c r="W23" s="21" t="n">
        <v>5</v>
      </c>
      <c r="X23" s="21" t="n">
        <v>4</v>
      </c>
      <c r="Y23" s="22">
        <f>INT(A23)</f>
        <v/>
      </c>
      <c r="Z23" s="21">
        <f>IF(Y23&lt;DATE(2025,3,6),1,IF(Y23&lt;DATE(2025,3,13),2,3))</f>
        <v/>
      </c>
      <c r="AA23" s="21">
        <f>COUNTBLANK(B23:X23)</f>
        <v/>
      </c>
      <c r="AB23" s="21">
        <f>B23&amp;"|"&amp;C23&amp;"|"&amp;D23&amp;"|"&amp;E23&amp;"|"&amp;F23&amp;"|"&amp;G23&amp;"|"&amp;H23&amp;"|"&amp;I23&amp;"|"&amp;J23&amp;"|"&amp;K23&amp;"|"&amp;L23&amp;"|"&amp;M23&amp;"|"&amp;N23&amp;"|"&amp;O23&amp;"|"&amp;P23&amp;"|"&amp;Q23&amp;"|"&amp;R23&amp;"|"&amp;S23&amp;"|"&amp;T23&amp;"|"&amp;U23&amp;"|"&amp;V23&amp;"|"&amp;W23&amp;"|"&amp;X23</f>
        <v/>
      </c>
      <c r="AC23" s="21">
        <f>IF(COUNTIF($AB$2:AB23,AB23)&gt;1,1,0)</f>
        <v/>
      </c>
      <c r="AD23" s="23">
        <f>STDEV(F23:X23)</f>
        <v/>
      </c>
      <c r="AE23" s="21">
        <f>IF(OR(AA23&gt;=8,AC23=1,AD23=0),0,1)</f>
        <v/>
      </c>
      <c r="AF23" s="21">
        <f>IF(AE23=1,"",IF(AC23=1,"Trùng",IF(AA23&gt;=8,"Bỏ trống "&amp;AA23&amp;" ô","Chọn cùng một mức")))</f>
        <v/>
      </c>
      <c r="AG23" s="23">
        <f>IF($AE23=1,AVERAGE(F23:I23),"")</f>
        <v/>
      </c>
      <c r="AH23" s="23">
        <f>IF($AE23=1,AVERAGE(J23:M23),"")</f>
        <v/>
      </c>
      <c r="AI23" s="23">
        <f>IF($AE23=1,AVERAGE(N23:Q23),"")</f>
        <v/>
      </c>
      <c r="AJ23" s="23">
        <f>IF($AE23=1,AVERAGE(R23:U23),"")</f>
        <v/>
      </c>
      <c r="AK23" s="23">
        <f>IF($AE23=1,AVERAGE(V23:X23),"")</f>
        <v/>
      </c>
    </row>
    <row r="24">
      <c r="A24" s="20" t="n">
        <v>45721.48194444444</v>
      </c>
      <c r="B24" s="21" t="n">
        <v>1</v>
      </c>
      <c r="C24" s="21" t="n">
        <v>2</v>
      </c>
      <c r="D24" s="21" t="n">
        <v>3</v>
      </c>
      <c r="E24" s="21" t="n">
        <v>1</v>
      </c>
      <c r="F24" s="21" t="n">
        <v>3</v>
      </c>
      <c r="G24" s="21" t="n">
        <v>3</v>
      </c>
      <c r="H24" s="21" t="n">
        <v>3</v>
      </c>
      <c r="I24" s="21" t="n">
        <v>3</v>
      </c>
      <c r="J24" s="21" t="n">
        <v>4</v>
      </c>
      <c r="K24" s="21" t="n">
        <v>4</v>
      </c>
      <c r="L24" s="21" t="n">
        <v>4</v>
      </c>
      <c r="M24" s="21" t="n">
        <v>3</v>
      </c>
      <c r="N24" s="21" t="n">
        <v>4</v>
      </c>
      <c r="O24" s="21" t="n">
        <v>5</v>
      </c>
      <c r="P24" s="21" t="n">
        <v>2</v>
      </c>
      <c r="Q24" s="21" t="n">
        <v>4</v>
      </c>
      <c r="R24" s="21" t="n">
        <v>4</v>
      </c>
      <c r="S24" s="21" t="n">
        <v>4</v>
      </c>
      <c r="T24" s="21" t="n">
        <v>4</v>
      </c>
      <c r="U24" s="21" t="n">
        <v>4</v>
      </c>
      <c r="V24" s="21" t="n">
        <v>4</v>
      </c>
      <c r="W24" s="21" t="n">
        <v>4</v>
      </c>
      <c r="X24" s="21" t="n">
        <v>5</v>
      </c>
      <c r="Y24" s="22">
        <f>INT(A24)</f>
        <v/>
      </c>
      <c r="Z24" s="21">
        <f>IF(Y24&lt;DATE(2025,3,6),1,IF(Y24&lt;DATE(2025,3,13),2,3))</f>
        <v/>
      </c>
      <c r="AA24" s="21">
        <f>COUNTBLANK(B24:X24)</f>
        <v/>
      </c>
      <c r="AB24" s="21">
        <f>B24&amp;"|"&amp;C24&amp;"|"&amp;D24&amp;"|"&amp;E24&amp;"|"&amp;F24&amp;"|"&amp;G24&amp;"|"&amp;H24&amp;"|"&amp;I24&amp;"|"&amp;J24&amp;"|"&amp;K24&amp;"|"&amp;L24&amp;"|"&amp;M24&amp;"|"&amp;N24&amp;"|"&amp;O24&amp;"|"&amp;P24&amp;"|"&amp;Q24&amp;"|"&amp;R24&amp;"|"&amp;S24&amp;"|"&amp;T24&amp;"|"&amp;U24&amp;"|"&amp;V24&amp;"|"&amp;W24&amp;"|"&amp;X24</f>
        <v/>
      </c>
      <c r="AC24" s="21">
        <f>IF(COUNTIF($AB$2:AB24,AB24)&gt;1,1,0)</f>
        <v/>
      </c>
      <c r="AD24" s="23">
        <f>STDEV(F24:X24)</f>
        <v/>
      </c>
      <c r="AE24" s="21">
        <f>IF(OR(AA24&gt;=8,AC24=1,AD24=0),0,1)</f>
        <v/>
      </c>
      <c r="AF24" s="21">
        <f>IF(AE24=1,"",IF(AC24=1,"Trùng",IF(AA24&gt;=8,"Bỏ trống "&amp;AA24&amp;" ô","Chọn cùng một mức")))</f>
        <v/>
      </c>
      <c r="AG24" s="23">
        <f>IF($AE24=1,AVERAGE(F24:I24),"")</f>
        <v/>
      </c>
      <c r="AH24" s="23">
        <f>IF($AE24=1,AVERAGE(J24:M24),"")</f>
        <v/>
      </c>
      <c r="AI24" s="23">
        <f>IF($AE24=1,AVERAGE(N24:Q24),"")</f>
        <v/>
      </c>
      <c r="AJ24" s="23">
        <f>IF($AE24=1,AVERAGE(R24:U24),"")</f>
        <v/>
      </c>
      <c r="AK24" s="23">
        <f>IF($AE24=1,AVERAGE(V24:X24),"")</f>
        <v/>
      </c>
    </row>
    <row r="25">
      <c r="A25" s="20" t="n">
        <v>45721.48680555556</v>
      </c>
      <c r="B25" s="21" t="n">
        <v>1</v>
      </c>
      <c r="C25" s="21" t="n">
        <v>3</v>
      </c>
      <c r="D25" s="21" t="n">
        <v>1</v>
      </c>
      <c r="E25" s="21" t="n">
        <v>1</v>
      </c>
      <c r="F25" s="21" t="n">
        <v>5</v>
      </c>
      <c r="G25" s="21" t="n">
        <v>5</v>
      </c>
      <c r="H25" s="21" t="n">
        <v>4</v>
      </c>
      <c r="I25" s="21" t="n">
        <v>5</v>
      </c>
      <c r="J25" s="21" t="n">
        <v>4</v>
      </c>
      <c r="K25" s="21" t="n">
        <v>5</v>
      </c>
      <c r="L25" s="21" t="n">
        <v>4</v>
      </c>
      <c r="M25" s="21" t="n">
        <v>4</v>
      </c>
      <c r="N25" s="21" t="n">
        <v>5</v>
      </c>
      <c r="O25" s="21" t="n">
        <v>3</v>
      </c>
      <c r="P25" s="21" t="n">
        <v>4</v>
      </c>
      <c r="Q25" s="21" t="n">
        <v>5</v>
      </c>
      <c r="R25" s="21" t="n">
        <v>3</v>
      </c>
      <c r="S25" s="21" t="n">
        <v>3</v>
      </c>
      <c r="T25" s="21" t="n">
        <v>3</v>
      </c>
      <c r="U25" s="21" t="n">
        <v>4</v>
      </c>
      <c r="V25" s="21" t="n">
        <v>4</v>
      </c>
      <c r="W25" s="21" t="n">
        <v>5</v>
      </c>
      <c r="X25" s="21" t="n">
        <v>5</v>
      </c>
      <c r="Y25" s="22">
        <f>INT(A25)</f>
        <v/>
      </c>
      <c r="Z25" s="21">
        <f>IF(Y25&lt;DATE(2025,3,6),1,IF(Y25&lt;DATE(2025,3,13),2,3))</f>
        <v/>
      </c>
      <c r="AA25" s="21">
        <f>COUNTBLANK(B25:X25)</f>
        <v/>
      </c>
      <c r="AB25" s="21">
        <f>B25&amp;"|"&amp;C25&amp;"|"&amp;D25&amp;"|"&amp;E25&amp;"|"&amp;F25&amp;"|"&amp;G25&amp;"|"&amp;H25&amp;"|"&amp;I25&amp;"|"&amp;J25&amp;"|"&amp;K25&amp;"|"&amp;L25&amp;"|"&amp;M25&amp;"|"&amp;N25&amp;"|"&amp;O25&amp;"|"&amp;P25&amp;"|"&amp;Q25&amp;"|"&amp;R25&amp;"|"&amp;S25&amp;"|"&amp;T25&amp;"|"&amp;U25&amp;"|"&amp;V25&amp;"|"&amp;W25&amp;"|"&amp;X25</f>
        <v/>
      </c>
      <c r="AC25" s="21">
        <f>IF(COUNTIF($AB$2:AB25,AB25)&gt;1,1,0)</f>
        <v/>
      </c>
      <c r="AD25" s="23">
        <f>STDEV(F25:X25)</f>
        <v/>
      </c>
      <c r="AE25" s="21">
        <f>IF(OR(AA25&gt;=8,AC25=1,AD25=0),0,1)</f>
        <v/>
      </c>
      <c r="AF25" s="21">
        <f>IF(AE25=1,"",IF(AC25=1,"Trùng",IF(AA25&gt;=8,"Bỏ trống "&amp;AA25&amp;" ô","Chọn cùng một mức")))</f>
        <v/>
      </c>
      <c r="AG25" s="23">
        <f>IF($AE25=1,AVERAGE(F25:I25),"")</f>
        <v/>
      </c>
      <c r="AH25" s="23">
        <f>IF($AE25=1,AVERAGE(J25:M25),"")</f>
        <v/>
      </c>
      <c r="AI25" s="23">
        <f>IF($AE25=1,AVERAGE(N25:Q25),"")</f>
        <v/>
      </c>
      <c r="AJ25" s="23">
        <f>IF($AE25=1,AVERAGE(R25:U25),"")</f>
        <v/>
      </c>
      <c r="AK25" s="23">
        <f>IF($AE25=1,AVERAGE(V25:X25),"")</f>
        <v/>
      </c>
    </row>
    <row r="26">
      <c r="A26" s="20" t="n">
        <v>45721.56666666667</v>
      </c>
      <c r="B26" s="21" t="n">
        <v>1</v>
      </c>
      <c r="C26" s="21" t="n">
        <v>3</v>
      </c>
      <c r="D26" s="21" t="n">
        <v>1</v>
      </c>
      <c r="E26" s="21" t="n">
        <v>2</v>
      </c>
      <c r="F26" s="21" t="n">
        <v>4</v>
      </c>
      <c r="G26" s="21" t="n">
        <v>4</v>
      </c>
      <c r="H26" s="21" t="n">
        <v>4</v>
      </c>
      <c r="I26" s="21" t="n">
        <v>3</v>
      </c>
      <c r="J26" s="21" t="n">
        <v>2</v>
      </c>
      <c r="K26" s="21" t="n">
        <v>3</v>
      </c>
      <c r="L26" s="21" t="n">
        <v>4</v>
      </c>
      <c r="M26" s="21" t="n">
        <v>4</v>
      </c>
      <c r="N26" s="21" t="n">
        <v>3</v>
      </c>
      <c r="O26" s="21" t="n">
        <v>4</v>
      </c>
      <c r="P26" s="21" t="n">
        <v>4</v>
      </c>
      <c r="Q26" s="21" t="n">
        <v>4</v>
      </c>
      <c r="R26" s="21" t="n">
        <v>4</v>
      </c>
      <c r="S26" s="21" t="n">
        <v>5</v>
      </c>
      <c r="T26" s="21" t="n">
        <v>4</v>
      </c>
      <c r="U26" s="21" t="n">
        <v>4</v>
      </c>
      <c r="V26" s="21" t="n">
        <v>4</v>
      </c>
      <c r="W26" s="21" t="n">
        <v>5</v>
      </c>
      <c r="X26" s="21" t="n">
        <v>4</v>
      </c>
      <c r="Y26" s="22">
        <f>INT(A26)</f>
        <v/>
      </c>
      <c r="Z26" s="21">
        <f>IF(Y26&lt;DATE(2025,3,6),1,IF(Y26&lt;DATE(2025,3,13),2,3))</f>
        <v/>
      </c>
      <c r="AA26" s="21">
        <f>COUNTBLANK(B26:X26)</f>
        <v/>
      </c>
      <c r="AB26" s="21">
        <f>B26&amp;"|"&amp;C26&amp;"|"&amp;D26&amp;"|"&amp;E26&amp;"|"&amp;F26&amp;"|"&amp;G26&amp;"|"&amp;H26&amp;"|"&amp;I26&amp;"|"&amp;J26&amp;"|"&amp;K26&amp;"|"&amp;L26&amp;"|"&amp;M26&amp;"|"&amp;N26&amp;"|"&amp;O26&amp;"|"&amp;P26&amp;"|"&amp;Q26&amp;"|"&amp;R26&amp;"|"&amp;S26&amp;"|"&amp;T26&amp;"|"&amp;U26&amp;"|"&amp;V26&amp;"|"&amp;W26&amp;"|"&amp;X26</f>
        <v/>
      </c>
      <c r="AC26" s="21">
        <f>IF(COUNTIF($AB$2:AB26,AB26)&gt;1,1,0)</f>
        <v/>
      </c>
      <c r="AD26" s="23">
        <f>STDEV(F26:X26)</f>
        <v/>
      </c>
      <c r="AE26" s="21">
        <f>IF(OR(AA26&gt;=8,AC26=1,AD26=0),0,1)</f>
        <v/>
      </c>
      <c r="AF26" s="21">
        <f>IF(AE26=1,"",IF(AC26=1,"Trùng",IF(AA26&gt;=8,"Bỏ trống "&amp;AA26&amp;" ô","Chọn cùng một mức")))</f>
        <v/>
      </c>
      <c r="AG26" s="23">
        <f>IF($AE26=1,AVERAGE(F26:I26),"")</f>
        <v/>
      </c>
      <c r="AH26" s="23">
        <f>IF($AE26=1,AVERAGE(J26:M26),"")</f>
        <v/>
      </c>
      <c r="AI26" s="23">
        <f>IF($AE26=1,AVERAGE(N26:Q26),"")</f>
        <v/>
      </c>
      <c r="AJ26" s="23">
        <f>IF($AE26=1,AVERAGE(R26:U26),"")</f>
        <v/>
      </c>
      <c r="AK26" s="23">
        <f>IF($AE26=1,AVERAGE(V26:X26),"")</f>
        <v/>
      </c>
    </row>
    <row r="27">
      <c r="A27" s="20" t="n">
        <v>45721.59652777778</v>
      </c>
      <c r="B27" s="21" t="n">
        <v>2</v>
      </c>
      <c r="C27" s="21" t="n">
        <v>1</v>
      </c>
      <c r="D27" s="21" t="n">
        <v>1</v>
      </c>
      <c r="E27" s="21" t="n">
        <v>1</v>
      </c>
      <c r="F27" s="21" t="n">
        <v>5</v>
      </c>
      <c r="G27" s="21" t="n">
        <v>5</v>
      </c>
      <c r="H27" s="21" t="n">
        <v>5</v>
      </c>
      <c r="I27" s="21" t="n">
        <v>5</v>
      </c>
      <c r="J27" s="21" t="n">
        <v>5</v>
      </c>
      <c r="K27" s="21" t="n">
        <v>4</v>
      </c>
      <c r="L27" s="21" t="n">
        <v>5</v>
      </c>
      <c r="M27" s="21" t="n">
        <v>5</v>
      </c>
      <c r="N27" s="21" t="n">
        <v>4</v>
      </c>
      <c r="O27" s="21" t="n">
        <v>4</v>
      </c>
      <c r="P27" s="21" t="n">
        <v>3</v>
      </c>
      <c r="Q27" s="21" t="n">
        <v>3</v>
      </c>
      <c r="R27" s="21" t="n">
        <v>2</v>
      </c>
      <c r="S27" s="21" t="n">
        <v>4</v>
      </c>
      <c r="T27" s="21" t="n">
        <v>4</v>
      </c>
      <c r="U27" s="21" t="n">
        <v>4</v>
      </c>
      <c r="V27" s="21" t="n">
        <v>5</v>
      </c>
      <c r="W27" s="21" t="n">
        <v>5</v>
      </c>
      <c r="X27" s="21" t="n">
        <v>5</v>
      </c>
      <c r="Y27" s="22">
        <f>INT(A27)</f>
        <v/>
      </c>
      <c r="Z27" s="21">
        <f>IF(Y27&lt;DATE(2025,3,6),1,IF(Y27&lt;DATE(2025,3,13),2,3))</f>
        <v/>
      </c>
      <c r="AA27" s="21">
        <f>COUNTBLANK(B27:X27)</f>
        <v/>
      </c>
      <c r="AB27" s="21">
        <f>B27&amp;"|"&amp;C27&amp;"|"&amp;D27&amp;"|"&amp;E27&amp;"|"&amp;F27&amp;"|"&amp;G27&amp;"|"&amp;H27&amp;"|"&amp;I27&amp;"|"&amp;J27&amp;"|"&amp;K27&amp;"|"&amp;L27&amp;"|"&amp;M27&amp;"|"&amp;N27&amp;"|"&amp;O27&amp;"|"&amp;P27&amp;"|"&amp;Q27&amp;"|"&amp;R27&amp;"|"&amp;S27&amp;"|"&amp;T27&amp;"|"&amp;U27&amp;"|"&amp;V27&amp;"|"&amp;W27&amp;"|"&amp;X27</f>
        <v/>
      </c>
      <c r="AC27" s="21">
        <f>IF(COUNTIF($AB$2:AB27,AB27)&gt;1,1,0)</f>
        <v/>
      </c>
      <c r="AD27" s="23">
        <f>STDEV(F27:X27)</f>
        <v/>
      </c>
      <c r="AE27" s="21">
        <f>IF(OR(AA27&gt;=8,AC27=1,AD27=0),0,1)</f>
        <v/>
      </c>
      <c r="AF27" s="21">
        <f>IF(AE27=1,"",IF(AC27=1,"Trùng",IF(AA27&gt;=8,"Bỏ trống "&amp;AA27&amp;" ô","Chọn cùng một mức")))</f>
        <v/>
      </c>
      <c r="AG27" s="23">
        <f>IF($AE27=1,AVERAGE(F27:I27),"")</f>
        <v/>
      </c>
      <c r="AH27" s="23">
        <f>IF($AE27=1,AVERAGE(J27:M27),"")</f>
        <v/>
      </c>
      <c r="AI27" s="23">
        <f>IF($AE27=1,AVERAGE(N27:Q27),"")</f>
        <v/>
      </c>
      <c r="AJ27" s="23">
        <f>IF($AE27=1,AVERAGE(R27:U27),"")</f>
        <v/>
      </c>
      <c r="AK27" s="23">
        <f>IF($AE27=1,AVERAGE(V27:X27),"")</f>
        <v/>
      </c>
    </row>
    <row r="28">
      <c r="A28" s="20" t="n">
        <v>45721.7</v>
      </c>
      <c r="B28" s="21" t="n">
        <v>1</v>
      </c>
      <c r="C28" s="21" t="n">
        <v>4</v>
      </c>
      <c r="D28" s="21" t="n">
        <v>2</v>
      </c>
      <c r="E28" s="21" t="n">
        <v>3</v>
      </c>
      <c r="F28" s="21" t="n">
        <v>3</v>
      </c>
      <c r="G28" s="21" t="n">
        <v>4</v>
      </c>
      <c r="H28" s="21" t="n">
        <v>4</v>
      </c>
      <c r="I28" s="21" t="n">
        <v>4</v>
      </c>
      <c r="J28" s="21" t="n">
        <v>2</v>
      </c>
      <c r="K28" s="21" t="n">
        <v>2</v>
      </c>
      <c r="L28" s="21" t="n">
        <v>3</v>
      </c>
      <c r="M28" s="21" t="n">
        <v>2</v>
      </c>
      <c r="N28" s="21" t="n">
        <v>4</v>
      </c>
      <c r="O28" s="21" t="n">
        <v>2</v>
      </c>
      <c r="P28" s="21" t="n">
        <v>3</v>
      </c>
      <c r="Q28" s="21" t="n">
        <v>5</v>
      </c>
      <c r="R28" s="21" t="n">
        <v>2</v>
      </c>
      <c r="S28" s="21" t="n">
        <v>2</v>
      </c>
      <c r="T28" s="21" t="n">
        <v>2</v>
      </c>
      <c r="U28" s="21" t="n">
        <v>3</v>
      </c>
      <c r="V28" s="21" t="n">
        <v>3</v>
      </c>
      <c r="W28" s="21" t="n">
        <v>3</v>
      </c>
      <c r="X28" s="21" t="n">
        <v>3</v>
      </c>
      <c r="Y28" s="22">
        <f>INT(A28)</f>
        <v/>
      </c>
      <c r="Z28" s="21">
        <f>IF(Y28&lt;DATE(2025,3,6),1,IF(Y28&lt;DATE(2025,3,13),2,3))</f>
        <v/>
      </c>
      <c r="AA28" s="21">
        <f>COUNTBLANK(B28:X28)</f>
        <v/>
      </c>
      <c r="AB28" s="21">
        <f>B28&amp;"|"&amp;C28&amp;"|"&amp;D28&amp;"|"&amp;E28&amp;"|"&amp;F28&amp;"|"&amp;G28&amp;"|"&amp;H28&amp;"|"&amp;I28&amp;"|"&amp;J28&amp;"|"&amp;K28&amp;"|"&amp;L28&amp;"|"&amp;M28&amp;"|"&amp;N28&amp;"|"&amp;O28&amp;"|"&amp;P28&amp;"|"&amp;Q28&amp;"|"&amp;R28&amp;"|"&amp;S28&amp;"|"&amp;T28&amp;"|"&amp;U28&amp;"|"&amp;V28&amp;"|"&amp;W28&amp;"|"&amp;X28</f>
        <v/>
      </c>
      <c r="AC28" s="21">
        <f>IF(COUNTIF($AB$2:AB28,AB28)&gt;1,1,0)</f>
        <v/>
      </c>
      <c r="AD28" s="23">
        <f>STDEV(F28:X28)</f>
        <v/>
      </c>
      <c r="AE28" s="21">
        <f>IF(OR(AA28&gt;=8,AC28=1,AD28=0),0,1)</f>
        <v/>
      </c>
      <c r="AF28" s="21">
        <f>IF(AE28=1,"",IF(AC28=1,"Trùng",IF(AA28&gt;=8,"Bỏ trống "&amp;AA28&amp;" ô","Chọn cùng một mức")))</f>
        <v/>
      </c>
      <c r="AG28" s="23">
        <f>IF($AE28=1,AVERAGE(F28:I28),"")</f>
        <v/>
      </c>
      <c r="AH28" s="23">
        <f>IF($AE28=1,AVERAGE(J28:M28),"")</f>
        <v/>
      </c>
      <c r="AI28" s="23">
        <f>IF($AE28=1,AVERAGE(N28:Q28),"")</f>
        <v/>
      </c>
      <c r="AJ28" s="23">
        <f>IF($AE28=1,AVERAGE(R28:U28),"")</f>
        <v/>
      </c>
      <c r="AK28" s="23">
        <f>IF($AE28=1,AVERAGE(V28:X28),"")</f>
        <v/>
      </c>
    </row>
    <row r="29">
      <c r="A29" s="20" t="n">
        <v>45721.75486111111</v>
      </c>
      <c r="B29" s="21" t="n">
        <v>1</v>
      </c>
      <c r="C29" s="21" t="n">
        <v>2</v>
      </c>
      <c r="D29" s="21" t="n">
        <v>1</v>
      </c>
      <c r="E29" s="21" t="n">
        <v>1</v>
      </c>
      <c r="F29" s="21" t="n">
        <v>4</v>
      </c>
      <c r="G29" s="21" t="n">
        <v>3</v>
      </c>
      <c r="H29" s="21" t="n">
        <v>3</v>
      </c>
      <c r="I29" s="21" t="n">
        <v>4</v>
      </c>
      <c r="J29" s="21" t="n">
        <v>4</v>
      </c>
      <c r="K29" s="21" t="n">
        <v>3</v>
      </c>
      <c r="L29" s="21" t="n">
        <v>3</v>
      </c>
      <c r="M29" s="21" t="n">
        <v>3</v>
      </c>
      <c r="N29" s="21" t="n">
        <v>4</v>
      </c>
      <c r="O29" s="21" t="n">
        <v>4</v>
      </c>
      <c r="P29" s="21" t="n">
        <v>4</v>
      </c>
      <c r="Q29" s="21" t="n">
        <v>4</v>
      </c>
      <c r="R29" s="21" t="n">
        <v>4</v>
      </c>
      <c r="S29" s="21" t="n">
        <v>3</v>
      </c>
      <c r="T29" s="21" t="n">
        <v>4</v>
      </c>
      <c r="U29" s="21" t="n">
        <v>3</v>
      </c>
      <c r="V29" s="21" t="n">
        <v>5</v>
      </c>
      <c r="W29" s="21" t="n">
        <v>4</v>
      </c>
      <c r="X29" s="21" t="n">
        <v>4</v>
      </c>
      <c r="Y29" s="22">
        <f>INT(A29)</f>
        <v/>
      </c>
      <c r="Z29" s="21">
        <f>IF(Y29&lt;DATE(2025,3,6),1,IF(Y29&lt;DATE(2025,3,13),2,3))</f>
        <v/>
      </c>
      <c r="AA29" s="21">
        <f>COUNTBLANK(B29:X29)</f>
        <v/>
      </c>
      <c r="AB29" s="21">
        <f>B29&amp;"|"&amp;C29&amp;"|"&amp;D29&amp;"|"&amp;E29&amp;"|"&amp;F29&amp;"|"&amp;G29&amp;"|"&amp;H29&amp;"|"&amp;I29&amp;"|"&amp;J29&amp;"|"&amp;K29&amp;"|"&amp;L29&amp;"|"&amp;M29&amp;"|"&amp;N29&amp;"|"&amp;O29&amp;"|"&amp;P29&amp;"|"&amp;Q29&amp;"|"&amp;R29&amp;"|"&amp;S29&amp;"|"&amp;T29&amp;"|"&amp;U29&amp;"|"&amp;V29&amp;"|"&amp;W29&amp;"|"&amp;X29</f>
        <v/>
      </c>
      <c r="AC29" s="21">
        <f>IF(COUNTIF($AB$2:AB29,AB29)&gt;1,1,0)</f>
        <v/>
      </c>
      <c r="AD29" s="23">
        <f>STDEV(F29:X29)</f>
        <v/>
      </c>
      <c r="AE29" s="21">
        <f>IF(OR(AA29&gt;=8,AC29=1,AD29=0),0,1)</f>
        <v/>
      </c>
      <c r="AF29" s="21">
        <f>IF(AE29=1,"",IF(AC29=1,"Trùng",IF(AA29&gt;=8,"Bỏ trống "&amp;AA29&amp;" ô","Chọn cùng một mức")))</f>
        <v/>
      </c>
      <c r="AG29" s="23">
        <f>IF($AE29=1,AVERAGE(F29:I29),"")</f>
        <v/>
      </c>
      <c r="AH29" s="23">
        <f>IF($AE29=1,AVERAGE(J29:M29),"")</f>
        <v/>
      </c>
      <c r="AI29" s="23">
        <f>IF($AE29=1,AVERAGE(N29:Q29),"")</f>
        <v/>
      </c>
      <c r="AJ29" s="23">
        <f>IF($AE29=1,AVERAGE(R29:U29),"")</f>
        <v/>
      </c>
      <c r="AK29" s="23">
        <f>IF($AE29=1,AVERAGE(V29:X29),"")</f>
        <v/>
      </c>
    </row>
    <row r="30">
      <c r="A30" s="20" t="n">
        <v>45721.75694444445</v>
      </c>
      <c r="B30" s="21" t="n">
        <v>1</v>
      </c>
      <c r="C30" s="21" t="n">
        <v>5</v>
      </c>
      <c r="D30" s="21" t="n">
        <v>1</v>
      </c>
      <c r="E30" s="21" t="n">
        <v>5</v>
      </c>
      <c r="F30" s="21" t="n"/>
      <c r="G30" s="21" t="n">
        <v>5</v>
      </c>
      <c r="H30" s="21" t="n">
        <v>2</v>
      </c>
      <c r="I30" s="21" t="n"/>
      <c r="J30" s="21" t="n"/>
      <c r="K30" s="21" t="n">
        <v>4</v>
      </c>
      <c r="L30" s="21" t="n"/>
      <c r="M30" s="21" t="n">
        <v>1</v>
      </c>
      <c r="N30" s="21" t="n"/>
      <c r="O30" s="21" t="n"/>
      <c r="P30" s="21" t="n">
        <v>3</v>
      </c>
      <c r="Q30" s="21" t="n"/>
      <c r="R30" s="21" t="n">
        <v>4</v>
      </c>
      <c r="S30" s="21" t="n">
        <v>4</v>
      </c>
      <c r="T30" s="21" t="n">
        <v>2</v>
      </c>
      <c r="U30" s="21" t="n"/>
      <c r="V30" s="21" t="n">
        <v>2</v>
      </c>
      <c r="W30" s="21" t="n"/>
      <c r="X30" s="21" t="n">
        <v>5</v>
      </c>
      <c r="Y30" s="22">
        <f>INT(A30)</f>
        <v/>
      </c>
      <c r="Z30" s="21">
        <f>IF(Y30&lt;DATE(2025,3,6),1,IF(Y30&lt;DATE(2025,3,13),2,3))</f>
        <v/>
      </c>
      <c r="AA30" s="21">
        <f>COUNTBLANK(B30:X30)</f>
        <v/>
      </c>
      <c r="AB30" s="21">
        <f>B30&amp;"|"&amp;C30&amp;"|"&amp;D30&amp;"|"&amp;E30&amp;"|"&amp;F30&amp;"|"&amp;G30&amp;"|"&amp;H30&amp;"|"&amp;I30&amp;"|"&amp;J30&amp;"|"&amp;K30&amp;"|"&amp;L30&amp;"|"&amp;M30&amp;"|"&amp;N30&amp;"|"&amp;O30&amp;"|"&amp;P30&amp;"|"&amp;Q30&amp;"|"&amp;R30&amp;"|"&amp;S30&amp;"|"&amp;T30&amp;"|"&amp;U30&amp;"|"&amp;V30&amp;"|"&amp;W30&amp;"|"&amp;X30</f>
        <v/>
      </c>
      <c r="AC30" s="21">
        <f>IF(COUNTIF($AB$2:AB30,AB30)&gt;1,1,0)</f>
        <v/>
      </c>
      <c r="AD30" s="23">
        <f>STDEV(F30:X30)</f>
        <v/>
      </c>
      <c r="AE30" s="21">
        <f>IF(OR(AA30&gt;=8,AC30=1,AD30=0),0,1)</f>
        <v/>
      </c>
      <c r="AF30" s="21">
        <f>IF(AE30=1,"",IF(AC30=1,"Trùng",IF(AA30&gt;=8,"Bỏ trống "&amp;AA30&amp;" ô","Chọn cùng một mức")))</f>
        <v/>
      </c>
      <c r="AG30" s="23">
        <f>IF($AE30=1,AVERAGE(F30:I30),"")</f>
        <v/>
      </c>
      <c r="AH30" s="23">
        <f>IF($AE30=1,AVERAGE(J30:M30),"")</f>
        <v/>
      </c>
      <c r="AI30" s="23">
        <f>IF($AE30=1,AVERAGE(N30:Q30),"")</f>
        <v/>
      </c>
      <c r="AJ30" s="23">
        <f>IF($AE30=1,AVERAGE(R30:U30),"")</f>
        <v/>
      </c>
      <c r="AK30" s="23">
        <f>IF($AE30=1,AVERAGE(V30:X30),"")</f>
        <v/>
      </c>
    </row>
    <row r="31">
      <c r="A31" s="20" t="n">
        <v>45721.89027777778</v>
      </c>
      <c r="B31" s="21" t="n">
        <v>1</v>
      </c>
      <c r="C31" s="21" t="n">
        <v>5</v>
      </c>
      <c r="D31" s="21" t="n">
        <v>3</v>
      </c>
      <c r="E31" s="21" t="n">
        <v>1</v>
      </c>
      <c r="F31" s="21" t="n"/>
      <c r="G31" s="21" t="n"/>
      <c r="H31" s="21" t="n"/>
      <c r="I31" s="21" t="n">
        <v>5</v>
      </c>
      <c r="J31" s="21" t="n"/>
      <c r="K31" s="21" t="n">
        <v>4</v>
      </c>
      <c r="L31" s="21" t="n"/>
      <c r="M31" s="21" t="n"/>
      <c r="N31" s="21" t="n">
        <v>2</v>
      </c>
      <c r="O31" s="21" t="n"/>
      <c r="P31" s="21" t="n"/>
      <c r="Q31" s="21" t="n">
        <v>2</v>
      </c>
      <c r="R31" s="21" t="n"/>
      <c r="S31" s="21" t="n"/>
      <c r="T31" s="21" t="n"/>
      <c r="U31" s="21" t="n"/>
      <c r="V31" s="21" t="n"/>
      <c r="W31" s="21" t="n"/>
      <c r="X31" s="21" t="n"/>
      <c r="Y31" s="22">
        <f>INT(A31)</f>
        <v/>
      </c>
      <c r="Z31" s="21">
        <f>IF(Y31&lt;DATE(2025,3,6),1,IF(Y31&lt;DATE(2025,3,13),2,3))</f>
        <v/>
      </c>
      <c r="AA31" s="21">
        <f>COUNTBLANK(B31:X31)</f>
        <v/>
      </c>
      <c r="AB31" s="21">
        <f>B31&amp;"|"&amp;C31&amp;"|"&amp;D31&amp;"|"&amp;E31&amp;"|"&amp;F31&amp;"|"&amp;G31&amp;"|"&amp;H31&amp;"|"&amp;I31&amp;"|"&amp;J31&amp;"|"&amp;K31&amp;"|"&amp;L31&amp;"|"&amp;M31&amp;"|"&amp;N31&amp;"|"&amp;O31&amp;"|"&amp;P31&amp;"|"&amp;Q31&amp;"|"&amp;R31&amp;"|"&amp;S31&amp;"|"&amp;T31&amp;"|"&amp;U31&amp;"|"&amp;V31&amp;"|"&amp;W31&amp;"|"&amp;X31</f>
        <v/>
      </c>
      <c r="AC31" s="21">
        <f>IF(COUNTIF($AB$2:AB31,AB31)&gt;1,1,0)</f>
        <v/>
      </c>
      <c r="AD31" s="23">
        <f>STDEV(F31:X31)</f>
        <v/>
      </c>
      <c r="AE31" s="21">
        <f>IF(OR(AA31&gt;=8,AC31=1,AD31=0),0,1)</f>
        <v/>
      </c>
      <c r="AF31" s="21">
        <f>IF(AE31=1,"",IF(AC31=1,"Trùng",IF(AA31&gt;=8,"Bỏ trống "&amp;AA31&amp;" ô","Chọn cùng một mức")))</f>
        <v/>
      </c>
      <c r="AG31" s="23">
        <f>IF($AE31=1,AVERAGE(F31:I31),"")</f>
        <v/>
      </c>
      <c r="AH31" s="23">
        <f>IF($AE31=1,AVERAGE(J31:M31),"")</f>
        <v/>
      </c>
      <c r="AI31" s="23">
        <f>IF($AE31=1,AVERAGE(N31:Q31),"")</f>
        <v/>
      </c>
      <c r="AJ31" s="23">
        <f>IF($AE31=1,AVERAGE(R31:U31),"")</f>
        <v/>
      </c>
      <c r="AK31" s="23">
        <f>IF($AE31=1,AVERAGE(V31:X31),"")</f>
        <v/>
      </c>
    </row>
    <row r="32">
      <c r="A32" s="20" t="n">
        <v>45722.01041666666</v>
      </c>
      <c r="B32" s="21" t="n">
        <v>2</v>
      </c>
      <c r="C32" s="21" t="n">
        <v>4</v>
      </c>
      <c r="D32" s="21" t="n">
        <v>1</v>
      </c>
      <c r="E32" s="21" t="n">
        <v>3</v>
      </c>
      <c r="F32" s="21" t="n">
        <v>4</v>
      </c>
      <c r="G32" s="21" t="n">
        <v>5</v>
      </c>
      <c r="H32" s="21" t="n">
        <v>4</v>
      </c>
      <c r="I32" s="21" t="n">
        <v>4</v>
      </c>
      <c r="J32" s="21" t="n">
        <v>4</v>
      </c>
      <c r="K32" s="21" t="n">
        <v>4</v>
      </c>
      <c r="L32" s="21" t="n">
        <v>3</v>
      </c>
      <c r="M32" s="21" t="n">
        <v>4</v>
      </c>
      <c r="N32" s="21" t="n">
        <v>3</v>
      </c>
      <c r="O32" s="21" t="n">
        <v>2</v>
      </c>
      <c r="P32" s="21" t="n">
        <v>3</v>
      </c>
      <c r="Q32" s="21" t="n">
        <v>2</v>
      </c>
      <c r="R32" s="21" t="n">
        <v>4</v>
      </c>
      <c r="S32" s="21" t="n">
        <v>4</v>
      </c>
      <c r="T32" s="21" t="n">
        <v>3</v>
      </c>
      <c r="U32" s="21" t="n">
        <v>2</v>
      </c>
      <c r="V32" s="21" t="n">
        <v>3</v>
      </c>
      <c r="W32" s="21" t="n">
        <v>3</v>
      </c>
      <c r="X32" s="21" t="n">
        <v>2</v>
      </c>
      <c r="Y32" s="22">
        <f>INT(A32)</f>
        <v/>
      </c>
      <c r="Z32" s="21">
        <f>IF(Y32&lt;DATE(2025,3,6),1,IF(Y32&lt;DATE(2025,3,13),2,3))</f>
        <v/>
      </c>
      <c r="AA32" s="21">
        <f>COUNTBLANK(B32:X32)</f>
        <v/>
      </c>
      <c r="AB32" s="21">
        <f>B32&amp;"|"&amp;C32&amp;"|"&amp;D32&amp;"|"&amp;E32&amp;"|"&amp;F32&amp;"|"&amp;G32&amp;"|"&amp;H32&amp;"|"&amp;I32&amp;"|"&amp;J32&amp;"|"&amp;K32&amp;"|"&amp;L32&amp;"|"&amp;M32&amp;"|"&amp;N32&amp;"|"&amp;O32&amp;"|"&amp;P32&amp;"|"&amp;Q32&amp;"|"&amp;R32&amp;"|"&amp;S32&amp;"|"&amp;T32&amp;"|"&amp;U32&amp;"|"&amp;V32&amp;"|"&amp;W32&amp;"|"&amp;X32</f>
        <v/>
      </c>
      <c r="AC32" s="21">
        <f>IF(COUNTIF($AB$2:AB32,AB32)&gt;1,1,0)</f>
        <v/>
      </c>
      <c r="AD32" s="23">
        <f>STDEV(F32:X32)</f>
        <v/>
      </c>
      <c r="AE32" s="21">
        <f>IF(OR(AA32&gt;=8,AC32=1,AD32=0),0,1)</f>
        <v/>
      </c>
      <c r="AF32" s="21">
        <f>IF(AE32=1,"",IF(AC32=1,"Trùng",IF(AA32&gt;=8,"Bỏ trống "&amp;AA32&amp;" ô","Chọn cùng một mức")))</f>
        <v/>
      </c>
      <c r="AG32" s="23">
        <f>IF($AE32=1,AVERAGE(F32:I32),"")</f>
        <v/>
      </c>
      <c r="AH32" s="23">
        <f>IF($AE32=1,AVERAGE(J32:M32),"")</f>
        <v/>
      </c>
      <c r="AI32" s="23">
        <f>IF($AE32=1,AVERAGE(N32:Q32),"")</f>
        <v/>
      </c>
      <c r="AJ32" s="23">
        <f>IF($AE32=1,AVERAGE(R32:U32),"")</f>
        <v/>
      </c>
      <c r="AK32" s="23">
        <f>IF($AE32=1,AVERAGE(V32:X32),"")</f>
        <v/>
      </c>
    </row>
    <row r="33">
      <c r="A33" s="20" t="n">
        <v>45722.09166666667</v>
      </c>
      <c r="B33" s="21" t="n">
        <v>1</v>
      </c>
      <c r="C33" s="21" t="n">
        <v>2</v>
      </c>
      <c r="D33" s="21" t="n">
        <v>3</v>
      </c>
      <c r="E33" s="21" t="n">
        <v>3</v>
      </c>
      <c r="F33" s="21" t="n">
        <v>4</v>
      </c>
      <c r="G33" s="21" t="n">
        <v>4</v>
      </c>
      <c r="H33" s="21" t="n">
        <v>3</v>
      </c>
      <c r="I33" s="21" t="n">
        <v>4</v>
      </c>
      <c r="J33" s="21" t="n">
        <v>2</v>
      </c>
      <c r="K33" s="21" t="n">
        <v>3</v>
      </c>
      <c r="L33" s="21" t="n">
        <v>1</v>
      </c>
      <c r="M33" s="21" t="n">
        <v>3</v>
      </c>
      <c r="N33" s="21" t="n">
        <v>3</v>
      </c>
      <c r="O33" s="21" t="n">
        <v>4</v>
      </c>
      <c r="P33" s="21" t="n">
        <v>4</v>
      </c>
      <c r="Q33" s="21" t="n">
        <v>4</v>
      </c>
      <c r="R33" s="21" t="n">
        <v>3</v>
      </c>
      <c r="S33" s="21" t="n">
        <v>3</v>
      </c>
      <c r="T33" s="21" t="n">
        <v>4</v>
      </c>
      <c r="U33" s="21" t="n">
        <v>3</v>
      </c>
      <c r="V33" s="21" t="n">
        <v>3</v>
      </c>
      <c r="W33" s="21" t="n">
        <v>3</v>
      </c>
      <c r="X33" s="21" t="n">
        <v>4</v>
      </c>
      <c r="Y33" s="22">
        <f>INT(A33)</f>
        <v/>
      </c>
      <c r="Z33" s="21">
        <f>IF(Y33&lt;DATE(2025,3,6),1,IF(Y33&lt;DATE(2025,3,13),2,3))</f>
        <v/>
      </c>
      <c r="AA33" s="21">
        <f>COUNTBLANK(B33:X33)</f>
        <v/>
      </c>
      <c r="AB33" s="21">
        <f>B33&amp;"|"&amp;C33&amp;"|"&amp;D33&amp;"|"&amp;E33&amp;"|"&amp;F33&amp;"|"&amp;G33&amp;"|"&amp;H33&amp;"|"&amp;I33&amp;"|"&amp;J33&amp;"|"&amp;K33&amp;"|"&amp;L33&amp;"|"&amp;M33&amp;"|"&amp;N33&amp;"|"&amp;O33&amp;"|"&amp;P33&amp;"|"&amp;Q33&amp;"|"&amp;R33&amp;"|"&amp;S33&amp;"|"&amp;T33&amp;"|"&amp;U33&amp;"|"&amp;V33&amp;"|"&amp;W33&amp;"|"&amp;X33</f>
        <v/>
      </c>
      <c r="AC33" s="21">
        <f>IF(COUNTIF($AB$2:AB33,AB33)&gt;1,1,0)</f>
        <v/>
      </c>
      <c r="AD33" s="23">
        <f>STDEV(F33:X33)</f>
        <v/>
      </c>
      <c r="AE33" s="21">
        <f>IF(OR(AA33&gt;=8,AC33=1,AD33=0),0,1)</f>
        <v/>
      </c>
      <c r="AF33" s="21">
        <f>IF(AE33=1,"",IF(AC33=1,"Trùng",IF(AA33&gt;=8,"Bỏ trống "&amp;AA33&amp;" ô","Chọn cùng một mức")))</f>
        <v/>
      </c>
      <c r="AG33" s="23">
        <f>IF($AE33=1,AVERAGE(F33:I33),"")</f>
        <v/>
      </c>
      <c r="AH33" s="23">
        <f>IF($AE33=1,AVERAGE(J33:M33),"")</f>
        <v/>
      </c>
      <c r="AI33" s="23">
        <f>IF($AE33=1,AVERAGE(N33:Q33),"")</f>
        <v/>
      </c>
      <c r="AJ33" s="23">
        <f>IF($AE33=1,AVERAGE(R33:U33),"")</f>
        <v/>
      </c>
      <c r="AK33" s="23">
        <f>IF($AE33=1,AVERAGE(V33:X33),"")</f>
        <v/>
      </c>
    </row>
    <row r="34">
      <c r="A34" s="20" t="n">
        <v>45722.12152777778</v>
      </c>
      <c r="B34" s="21" t="n">
        <v>1</v>
      </c>
      <c r="C34" s="21" t="n">
        <v>2</v>
      </c>
      <c r="D34" s="21" t="n">
        <v>3</v>
      </c>
      <c r="E34" s="21" t="n">
        <v>2</v>
      </c>
      <c r="F34" s="21" t="n">
        <v>3</v>
      </c>
      <c r="G34" s="21" t="n">
        <v>4</v>
      </c>
      <c r="H34" s="21" t="n">
        <v>2</v>
      </c>
      <c r="I34" s="21" t="n">
        <v>3</v>
      </c>
      <c r="J34" s="21" t="n">
        <v>4</v>
      </c>
      <c r="K34" s="21" t="n">
        <v>4</v>
      </c>
      <c r="L34" s="21" t="n">
        <v>2</v>
      </c>
      <c r="M34" s="21" t="n">
        <v>3</v>
      </c>
      <c r="N34" s="21" t="n">
        <v>4</v>
      </c>
      <c r="O34" s="21" t="n">
        <v>2</v>
      </c>
      <c r="P34" s="21" t="n">
        <v>4</v>
      </c>
      <c r="Q34" s="21" t="n">
        <v>2</v>
      </c>
      <c r="R34" s="21" t="n">
        <v>2</v>
      </c>
      <c r="S34" s="21" t="n">
        <v>2</v>
      </c>
      <c r="T34" s="21" t="n">
        <v>2</v>
      </c>
      <c r="U34" s="21" t="n">
        <v>3</v>
      </c>
      <c r="V34" s="21" t="n">
        <v>3</v>
      </c>
      <c r="W34" s="21" t="n">
        <v>3</v>
      </c>
      <c r="X34" s="21" t="n">
        <v>2</v>
      </c>
      <c r="Y34" s="22">
        <f>INT(A34)</f>
        <v/>
      </c>
      <c r="Z34" s="21">
        <f>IF(Y34&lt;DATE(2025,3,6),1,IF(Y34&lt;DATE(2025,3,13),2,3))</f>
        <v/>
      </c>
      <c r="AA34" s="21">
        <f>COUNTBLANK(B34:X34)</f>
        <v/>
      </c>
      <c r="AB34" s="21">
        <f>B34&amp;"|"&amp;C34&amp;"|"&amp;D34&amp;"|"&amp;E34&amp;"|"&amp;F34&amp;"|"&amp;G34&amp;"|"&amp;H34&amp;"|"&amp;I34&amp;"|"&amp;J34&amp;"|"&amp;K34&amp;"|"&amp;L34&amp;"|"&amp;M34&amp;"|"&amp;N34&amp;"|"&amp;O34&amp;"|"&amp;P34&amp;"|"&amp;Q34&amp;"|"&amp;R34&amp;"|"&amp;S34&amp;"|"&amp;T34&amp;"|"&amp;U34&amp;"|"&amp;V34&amp;"|"&amp;W34&amp;"|"&amp;X34</f>
        <v/>
      </c>
      <c r="AC34" s="21">
        <f>IF(COUNTIF($AB$2:AB34,AB34)&gt;1,1,0)</f>
        <v/>
      </c>
      <c r="AD34" s="23">
        <f>STDEV(F34:X34)</f>
        <v/>
      </c>
      <c r="AE34" s="21">
        <f>IF(OR(AA34&gt;=8,AC34=1,AD34=0),0,1)</f>
        <v/>
      </c>
      <c r="AF34" s="21">
        <f>IF(AE34=1,"",IF(AC34=1,"Trùng",IF(AA34&gt;=8,"Bỏ trống "&amp;AA34&amp;" ô","Chọn cùng một mức")))</f>
        <v/>
      </c>
      <c r="AG34" s="23">
        <f>IF($AE34=1,AVERAGE(F34:I34),"")</f>
        <v/>
      </c>
      <c r="AH34" s="23">
        <f>IF($AE34=1,AVERAGE(J34:M34),"")</f>
        <v/>
      </c>
      <c r="AI34" s="23">
        <f>IF($AE34=1,AVERAGE(N34:Q34),"")</f>
        <v/>
      </c>
      <c r="AJ34" s="23">
        <f>IF($AE34=1,AVERAGE(R34:U34),"")</f>
        <v/>
      </c>
      <c r="AK34" s="23">
        <f>IF($AE34=1,AVERAGE(V34:X34),"")</f>
        <v/>
      </c>
    </row>
    <row r="35">
      <c r="A35" s="20" t="n">
        <v>45722.16805555556</v>
      </c>
      <c r="B35" s="21" t="n">
        <v>1</v>
      </c>
      <c r="C35" s="21" t="n">
        <v>1</v>
      </c>
      <c r="D35" s="21" t="n">
        <v>1</v>
      </c>
      <c r="E35" s="21" t="n">
        <v>2</v>
      </c>
      <c r="F35" s="21" t="n">
        <v>4</v>
      </c>
      <c r="G35" s="21" t="n">
        <v>4</v>
      </c>
      <c r="H35" s="21" t="n">
        <v>4</v>
      </c>
      <c r="I35" s="21" t="n">
        <v>4</v>
      </c>
      <c r="J35" s="21" t="n">
        <v>4</v>
      </c>
      <c r="K35" s="21" t="n">
        <v>4</v>
      </c>
      <c r="L35" s="21" t="n">
        <v>2</v>
      </c>
      <c r="M35" s="21" t="n">
        <v>4</v>
      </c>
      <c r="N35" s="21" t="n">
        <v>2</v>
      </c>
      <c r="O35" s="21" t="n">
        <v>3</v>
      </c>
      <c r="P35" s="21" t="n">
        <v>3</v>
      </c>
      <c r="Q35" s="21" t="n">
        <v>1</v>
      </c>
      <c r="R35" s="21" t="n">
        <v>3</v>
      </c>
      <c r="S35" s="21" t="n">
        <v>4</v>
      </c>
      <c r="T35" s="21" t="n">
        <v>3</v>
      </c>
      <c r="U35" s="21" t="n">
        <v>4</v>
      </c>
      <c r="V35" s="21" t="n">
        <v>5</v>
      </c>
      <c r="W35" s="21" t="n">
        <v>5</v>
      </c>
      <c r="X35" s="21" t="n">
        <v>4</v>
      </c>
      <c r="Y35" s="22">
        <f>INT(A35)</f>
        <v/>
      </c>
      <c r="Z35" s="21">
        <f>IF(Y35&lt;DATE(2025,3,6),1,IF(Y35&lt;DATE(2025,3,13),2,3))</f>
        <v/>
      </c>
      <c r="AA35" s="21">
        <f>COUNTBLANK(B35:X35)</f>
        <v/>
      </c>
      <c r="AB35" s="21">
        <f>B35&amp;"|"&amp;C35&amp;"|"&amp;D35&amp;"|"&amp;E35&amp;"|"&amp;F35&amp;"|"&amp;G35&amp;"|"&amp;H35&amp;"|"&amp;I35&amp;"|"&amp;J35&amp;"|"&amp;K35&amp;"|"&amp;L35&amp;"|"&amp;M35&amp;"|"&amp;N35&amp;"|"&amp;O35&amp;"|"&amp;P35&amp;"|"&amp;Q35&amp;"|"&amp;R35&amp;"|"&amp;S35&amp;"|"&amp;T35&amp;"|"&amp;U35&amp;"|"&amp;V35&amp;"|"&amp;W35&amp;"|"&amp;X35</f>
        <v/>
      </c>
      <c r="AC35" s="21">
        <f>IF(COUNTIF($AB$2:AB35,AB35)&gt;1,1,0)</f>
        <v/>
      </c>
      <c r="AD35" s="23">
        <f>STDEV(F35:X35)</f>
        <v/>
      </c>
      <c r="AE35" s="21">
        <f>IF(OR(AA35&gt;=8,AC35=1,AD35=0),0,1)</f>
        <v/>
      </c>
      <c r="AF35" s="21">
        <f>IF(AE35=1,"",IF(AC35=1,"Trùng",IF(AA35&gt;=8,"Bỏ trống "&amp;AA35&amp;" ô","Chọn cùng một mức")))</f>
        <v/>
      </c>
      <c r="AG35" s="23">
        <f>IF($AE35=1,AVERAGE(F35:I35),"")</f>
        <v/>
      </c>
      <c r="AH35" s="23">
        <f>IF($AE35=1,AVERAGE(J35:M35),"")</f>
        <v/>
      </c>
      <c r="AI35" s="23">
        <f>IF($AE35=1,AVERAGE(N35:Q35),"")</f>
        <v/>
      </c>
      <c r="AJ35" s="23">
        <f>IF($AE35=1,AVERAGE(R35:U35),"")</f>
        <v/>
      </c>
      <c r="AK35" s="23">
        <f>IF($AE35=1,AVERAGE(V35:X35),"")</f>
        <v/>
      </c>
    </row>
    <row r="36">
      <c r="A36" s="20" t="n">
        <v>45722.22222222222</v>
      </c>
      <c r="B36" s="21" t="n">
        <v>2</v>
      </c>
      <c r="C36" s="21" t="n">
        <v>3</v>
      </c>
      <c r="D36" s="21" t="n">
        <v>1</v>
      </c>
      <c r="E36" s="21" t="n">
        <v>3</v>
      </c>
      <c r="F36" s="21" t="n">
        <v>4</v>
      </c>
      <c r="G36" s="21" t="n">
        <v>3</v>
      </c>
      <c r="H36" s="21" t="n">
        <v>5</v>
      </c>
      <c r="I36" s="21" t="n">
        <v>4</v>
      </c>
      <c r="J36" s="21" t="n">
        <v>3</v>
      </c>
      <c r="K36" s="21" t="n">
        <v>3</v>
      </c>
      <c r="L36" s="21" t="n">
        <v>4</v>
      </c>
      <c r="M36" s="21" t="n">
        <v>3</v>
      </c>
      <c r="N36" s="21" t="n">
        <v>3</v>
      </c>
      <c r="O36" s="21" t="n">
        <v>4</v>
      </c>
      <c r="P36" s="21" t="n">
        <v>2</v>
      </c>
      <c r="Q36" s="21" t="n">
        <v>3</v>
      </c>
      <c r="R36" s="21" t="n">
        <v>4</v>
      </c>
      <c r="S36" s="21" t="n">
        <v>5</v>
      </c>
      <c r="T36" s="21" t="n">
        <v>5</v>
      </c>
      <c r="U36" s="21" t="n">
        <v>4</v>
      </c>
      <c r="V36" s="21" t="n">
        <v>3</v>
      </c>
      <c r="W36" s="21" t="n">
        <v>3</v>
      </c>
      <c r="X36" s="21" t="n">
        <v>4</v>
      </c>
      <c r="Y36" s="22">
        <f>INT(A36)</f>
        <v/>
      </c>
      <c r="Z36" s="21">
        <f>IF(Y36&lt;DATE(2025,3,6),1,IF(Y36&lt;DATE(2025,3,13),2,3))</f>
        <v/>
      </c>
      <c r="AA36" s="21">
        <f>COUNTBLANK(B36:X36)</f>
        <v/>
      </c>
      <c r="AB36" s="21">
        <f>B36&amp;"|"&amp;C36&amp;"|"&amp;D36&amp;"|"&amp;E36&amp;"|"&amp;F36&amp;"|"&amp;G36&amp;"|"&amp;H36&amp;"|"&amp;I36&amp;"|"&amp;J36&amp;"|"&amp;K36&amp;"|"&amp;L36&amp;"|"&amp;M36&amp;"|"&amp;N36&amp;"|"&amp;O36&amp;"|"&amp;P36&amp;"|"&amp;Q36&amp;"|"&amp;R36&amp;"|"&amp;S36&amp;"|"&amp;T36&amp;"|"&amp;U36&amp;"|"&amp;V36&amp;"|"&amp;W36&amp;"|"&amp;X36</f>
        <v/>
      </c>
      <c r="AC36" s="21">
        <f>IF(COUNTIF($AB$2:AB36,AB36)&gt;1,1,0)</f>
        <v/>
      </c>
      <c r="AD36" s="23">
        <f>STDEV(F36:X36)</f>
        <v/>
      </c>
      <c r="AE36" s="21">
        <f>IF(OR(AA36&gt;=8,AC36=1,AD36=0),0,1)</f>
        <v/>
      </c>
      <c r="AF36" s="21">
        <f>IF(AE36=1,"",IF(AC36=1,"Trùng",IF(AA36&gt;=8,"Bỏ trống "&amp;AA36&amp;" ô","Chọn cùng một mức")))</f>
        <v/>
      </c>
      <c r="AG36" s="23">
        <f>IF($AE36=1,AVERAGE(F36:I36),"")</f>
        <v/>
      </c>
      <c r="AH36" s="23">
        <f>IF($AE36=1,AVERAGE(J36:M36),"")</f>
        <v/>
      </c>
      <c r="AI36" s="23">
        <f>IF($AE36=1,AVERAGE(N36:Q36),"")</f>
        <v/>
      </c>
      <c r="AJ36" s="23">
        <f>IF($AE36=1,AVERAGE(R36:U36),"")</f>
        <v/>
      </c>
      <c r="AK36" s="23">
        <f>IF($AE36=1,AVERAGE(V36:X36),"")</f>
        <v/>
      </c>
    </row>
    <row r="37">
      <c r="A37" s="20" t="n">
        <v>45722.26736111111</v>
      </c>
      <c r="B37" s="21" t="n">
        <v>1</v>
      </c>
      <c r="C37" s="21" t="n">
        <v>1</v>
      </c>
      <c r="D37" s="21" t="n">
        <v>1</v>
      </c>
      <c r="E37" s="21" t="n">
        <v>2</v>
      </c>
      <c r="F37" s="21" t="n">
        <v>4</v>
      </c>
      <c r="G37" s="21" t="n">
        <v>4</v>
      </c>
      <c r="H37" s="21" t="n">
        <v>4</v>
      </c>
      <c r="I37" s="21" t="n">
        <v>3</v>
      </c>
      <c r="J37" s="21" t="n">
        <v>3</v>
      </c>
      <c r="K37" s="21" t="n">
        <v>3</v>
      </c>
      <c r="L37" s="21" t="n">
        <v>4</v>
      </c>
      <c r="M37" s="21" t="n">
        <v>4</v>
      </c>
      <c r="N37" s="21" t="n">
        <v>4</v>
      </c>
      <c r="O37" s="21" t="n">
        <v>4</v>
      </c>
      <c r="P37" s="21" t="n">
        <v>3</v>
      </c>
      <c r="Q37" s="21" t="n">
        <v>4</v>
      </c>
      <c r="R37" s="21" t="n">
        <v>3</v>
      </c>
      <c r="S37" s="21" t="n">
        <v>3</v>
      </c>
      <c r="T37" s="21" t="n">
        <v>2</v>
      </c>
      <c r="U37" s="21" t="n">
        <v>3</v>
      </c>
      <c r="V37" s="21" t="n">
        <v>3</v>
      </c>
      <c r="W37" s="21" t="n">
        <v>4</v>
      </c>
      <c r="X37" s="21" t="n">
        <v>4</v>
      </c>
      <c r="Y37" s="22">
        <f>INT(A37)</f>
        <v/>
      </c>
      <c r="Z37" s="21">
        <f>IF(Y37&lt;DATE(2025,3,6),1,IF(Y37&lt;DATE(2025,3,13),2,3))</f>
        <v/>
      </c>
      <c r="AA37" s="21">
        <f>COUNTBLANK(B37:X37)</f>
        <v/>
      </c>
      <c r="AB37" s="21">
        <f>B37&amp;"|"&amp;C37&amp;"|"&amp;D37&amp;"|"&amp;E37&amp;"|"&amp;F37&amp;"|"&amp;G37&amp;"|"&amp;H37&amp;"|"&amp;I37&amp;"|"&amp;J37&amp;"|"&amp;K37&amp;"|"&amp;L37&amp;"|"&amp;M37&amp;"|"&amp;N37&amp;"|"&amp;O37&amp;"|"&amp;P37&amp;"|"&amp;Q37&amp;"|"&amp;R37&amp;"|"&amp;S37&amp;"|"&amp;T37&amp;"|"&amp;U37&amp;"|"&amp;V37&amp;"|"&amp;W37&amp;"|"&amp;X37</f>
        <v/>
      </c>
      <c r="AC37" s="21">
        <f>IF(COUNTIF($AB$2:AB37,AB37)&gt;1,1,0)</f>
        <v/>
      </c>
      <c r="AD37" s="23">
        <f>STDEV(F37:X37)</f>
        <v/>
      </c>
      <c r="AE37" s="21">
        <f>IF(OR(AA37&gt;=8,AC37=1,AD37=0),0,1)</f>
        <v/>
      </c>
      <c r="AF37" s="21">
        <f>IF(AE37=1,"",IF(AC37=1,"Trùng",IF(AA37&gt;=8,"Bỏ trống "&amp;AA37&amp;" ô","Chọn cùng một mức")))</f>
        <v/>
      </c>
      <c r="AG37" s="23">
        <f>IF($AE37=1,AVERAGE(F37:I37),"")</f>
        <v/>
      </c>
      <c r="AH37" s="23">
        <f>IF($AE37=1,AVERAGE(J37:M37),"")</f>
        <v/>
      </c>
      <c r="AI37" s="23">
        <f>IF($AE37=1,AVERAGE(N37:Q37),"")</f>
        <v/>
      </c>
      <c r="AJ37" s="23">
        <f>IF($AE37=1,AVERAGE(R37:U37),"")</f>
        <v/>
      </c>
      <c r="AK37" s="23">
        <f>IF($AE37=1,AVERAGE(V37:X37),"")</f>
        <v/>
      </c>
    </row>
    <row r="38">
      <c r="A38" s="20" t="n">
        <v>45722.36111111111</v>
      </c>
      <c r="B38" s="21" t="n">
        <v>2</v>
      </c>
      <c r="C38" s="21" t="n">
        <v>3</v>
      </c>
      <c r="D38" s="21" t="n">
        <v>3</v>
      </c>
      <c r="E38" s="21" t="n">
        <v>3</v>
      </c>
      <c r="F38" s="21" t="n">
        <v>4</v>
      </c>
      <c r="G38" s="21" t="n">
        <v>4</v>
      </c>
      <c r="H38" s="21" t="n">
        <v>5</v>
      </c>
      <c r="I38" s="21" t="n">
        <v>4</v>
      </c>
      <c r="J38" s="21" t="n">
        <v>3</v>
      </c>
      <c r="K38" s="21" t="n">
        <v>3</v>
      </c>
      <c r="L38" s="21" t="n">
        <v>3</v>
      </c>
      <c r="M38" s="21" t="n">
        <v>3</v>
      </c>
      <c r="N38" s="21" t="n">
        <v>3</v>
      </c>
      <c r="O38" s="21" t="n">
        <v>2</v>
      </c>
      <c r="P38" s="21" t="n">
        <v>2</v>
      </c>
      <c r="Q38" s="21" t="n">
        <v>3</v>
      </c>
      <c r="R38" s="21" t="n">
        <v>2</v>
      </c>
      <c r="S38" s="21" t="n">
        <v>2</v>
      </c>
      <c r="T38" s="21" t="n">
        <v>3</v>
      </c>
      <c r="U38" s="21" t="n">
        <v>1</v>
      </c>
      <c r="V38" s="21" t="n">
        <v>3</v>
      </c>
      <c r="W38" s="21" t="n">
        <v>3</v>
      </c>
      <c r="X38" s="21" t="n">
        <v>3</v>
      </c>
      <c r="Y38" s="22">
        <f>INT(A38)</f>
        <v/>
      </c>
      <c r="Z38" s="21">
        <f>IF(Y38&lt;DATE(2025,3,6),1,IF(Y38&lt;DATE(2025,3,13),2,3))</f>
        <v/>
      </c>
      <c r="AA38" s="21">
        <f>COUNTBLANK(B38:X38)</f>
        <v/>
      </c>
      <c r="AB38" s="21">
        <f>B38&amp;"|"&amp;C38&amp;"|"&amp;D38&amp;"|"&amp;E38&amp;"|"&amp;F38&amp;"|"&amp;G38&amp;"|"&amp;H38&amp;"|"&amp;I38&amp;"|"&amp;J38&amp;"|"&amp;K38&amp;"|"&amp;L38&amp;"|"&amp;M38&amp;"|"&amp;N38&amp;"|"&amp;O38&amp;"|"&amp;P38&amp;"|"&amp;Q38&amp;"|"&amp;R38&amp;"|"&amp;S38&amp;"|"&amp;T38&amp;"|"&amp;U38&amp;"|"&amp;V38&amp;"|"&amp;W38&amp;"|"&amp;X38</f>
        <v/>
      </c>
      <c r="AC38" s="21">
        <f>IF(COUNTIF($AB$2:AB38,AB38)&gt;1,1,0)</f>
        <v/>
      </c>
      <c r="AD38" s="23">
        <f>STDEV(F38:X38)</f>
        <v/>
      </c>
      <c r="AE38" s="21">
        <f>IF(OR(AA38&gt;=8,AC38=1,AD38=0),0,1)</f>
        <v/>
      </c>
      <c r="AF38" s="21">
        <f>IF(AE38=1,"",IF(AC38=1,"Trùng",IF(AA38&gt;=8,"Bỏ trống "&amp;AA38&amp;" ô","Chọn cùng một mức")))</f>
        <v/>
      </c>
      <c r="AG38" s="23">
        <f>IF($AE38=1,AVERAGE(F38:I38),"")</f>
        <v/>
      </c>
      <c r="AH38" s="23">
        <f>IF($AE38=1,AVERAGE(J38:M38),"")</f>
        <v/>
      </c>
      <c r="AI38" s="23">
        <f>IF($AE38=1,AVERAGE(N38:Q38),"")</f>
        <v/>
      </c>
      <c r="AJ38" s="23">
        <f>IF($AE38=1,AVERAGE(R38:U38),"")</f>
        <v/>
      </c>
      <c r="AK38" s="23">
        <f>IF($AE38=1,AVERAGE(V38:X38),"")</f>
        <v/>
      </c>
    </row>
    <row r="39">
      <c r="A39" s="20" t="n">
        <v>45722.36458333334</v>
      </c>
      <c r="B39" s="21" t="n">
        <v>1</v>
      </c>
      <c r="C39" s="21" t="n">
        <v>1</v>
      </c>
      <c r="D39" s="21" t="n">
        <v>1</v>
      </c>
      <c r="E39" s="21" t="n">
        <v>2</v>
      </c>
      <c r="F39" s="21" t="n">
        <v>5</v>
      </c>
      <c r="G39" s="21" t="n">
        <v>4</v>
      </c>
      <c r="H39" s="21" t="n">
        <v>5</v>
      </c>
      <c r="I39" s="21" t="n">
        <v>3</v>
      </c>
      <c r="J39" s="21" t="n">
        <v>3</v>
      </c>
      <c r="K39" s="21" t="n">
        <v>3</v>
      </c>
      <c r="L39" s="21" t="n">
        <v>4</v>
      </c>
      <c r="M39" s="21" t="n">
        <v>4</v>
      </c>
      <c r="N39" s="21" t="n">
        <v>2</v>
      </c>
      <c r="O39" s="21" t="n">
        <v>3</v>
      </c>
      <c r="P39" s="21" t="n">
        <v>2</v>
      </c>
      <c r="Q39" s="21" t="n">
        <v>2</v>
      </c>
      <c r="R39" s="21" t="n">
        <v>3</v>
      </c>
      <c r="S39" s="21" t="n">
        <v>3</v>
      </c>
      <c r="T39" s="21" t="n">
        <v>3</v>
      </c>
      <c r="U39" s="21" t="n">
        <v>3</v>
      </c>
      <c r="V39" s="21" t="n">
        <v>3</v>
      </c>
      <c r="W39" s="21" t="n">
        <v>4</v>
      </c>
      <c r="X39" s="21" t="n">
        <v>4</v>
      </c>
      <c r="Y39" s="22">
        <f>INT(A39)</f>
        <v/>
      </c>
      <c r="Z39" s="21">
        <f>IF(Y39&lt;DATE(2025,3,6),1,IF(Y39&lt;DATE(2025,3,13),2,3))</f>
        <v/>
      </c>
      <c r="AA39" s="21">
        <f>COUNTBLANK(B39:X39)</f>
        <v/>
      </c>
      <c r="AB39" s="21">
        <f>B39&amp;"|"&amp;C39&amp;"|"&amp;D39&amp;"|"&amp;E39&amp;"|"&amp;F39&amp;"|"&amp;G39&amp;"|"&amp;H39&amp;"|"&amp;I39&amp;"|"&amp;J39&amp;"|"&amp;K39&amp;"|"&amp;L39&amp;"|"&amp;M39&amp;"|"&amp;N39&amp;"|"&amp;O39&amp;"|"&amp;P39&amp;"|"&amp;Q39&amp;"|"&amp;R39&amp;"|"&amp;S39&amp;"|"&amp;T39&amp;"|"&amp;U39&amp;"|"&amp;V39&amp;"|"&amp;W39&amp;"|"&amp;X39</f>
        <v/>
      </c>
      <c r="AC39" s="21">
        <f>IF(COUNTIF($AB$2:AB39,AB39)&gt;1,1,0)</f>
        <v/>
      </c>
      <c r="AD39" s="23">
        <f>STDEV(F39:X39)</f>
        <v/>
      </c>
      <c r="AE39" s="21">
        <f>IF(OR(AA39&gt;=8,AC39=1,AD39=0),0,1)</f>
        <v/>
      </c>
      <c r="AF39" s="21">
        <f>IF(AE39=1,"",IF(AC39=1,"Trùng",IF(AA39&gt;=8,"Bỏ trống "&amp;AA39&amp;" ô","Chọn cùng một mức")))</f>
        <v/>
      </c>
      <c r="AG39" s="23">
        <f>IF($AE39=1,AVERAGE(F39:I39),"")</f>
        <v/>
      </c>
      <c r="AH39" s="23">
        <f>IF($AE39=1,AVERAGE(J39:M39),"")</f>
        <v/>
      </c>
      <c r="AI39" s="23">
        <f>IF($AE39=1,AVERAGE(N39:Q39),"")</f>
        <v/>
      </c>
      <c r="AJ39" s="23">
        <f>IF($AE39=1,AVERAGE(R39:U39),"")</f>
        <v/>
      </c>
      <c r="AK39" s="23">
        <f>IF($AE39=1,AVERAGE(V39:X39),"")</f>
        <v/>
      </c>
    </row>
    <row r="40">
      <c r="A40" s="20" t="n">
        <v>45722.36597222222</v>
      </c>
      <c r="B40" s="21" t="n">
        <v>1</v>
      </c>
      <c r="C40" s="21" t="n">
        <v>1</v>
      </c>
      <c r="D40" s="21" t="n">
        <v>1</v>
      </c>
      <c r="E40" s="21" t="n">
        <v>2</v>
      </c>
      <c r="F40" s="21" t="n">
        <v>5</v>
      </c>
      <c r="G40" s="21" t="n">
        <v>4</v>
      </c>
      <c r="H40" s="21" t="n">
        <v>5</v>
      </c>
      <c r="I40" s="21" t="n">
        <v>3</v>
      </c>
      <c r="J40" s="21" t="n">
        <v>3</v>
      </c>
      <c r="K40" s="21" t="n">
        <v>3</v>
      </c>
      <c r="L40" s="21" t="n">
        <v>4</v>
      </c>
      <c r="M40" s="21" t="n">
        <v>4</v>
      </c>
      <c r="N40" s="21" t="n">
        <v>2</v>
      </c>
      <c r="O40" s="21" t="n">
        <v>3</v>
      </c>
      <c r="P40" s="21" t="n">
        <v>2</v>
      </c>
      <c r="Q40" s="21" t="n">
        <v>2</v>
      </c>
      <c r="R40" s="21" t="n">
        <v>3</v>
      </c>
      <c r="S40" s="21" t="n">
        <v>3</v>
      </c>
      <c r="T40" s="21" t="n">
        <v>3</v>
      </c>
      <c r="U40" s="21" t="n">
        <v>3</v>
      </c>
      <c r="V40" s="21" t="n">
        <v>3</v>
      </c>
      <c r="W40" s="21" t="n">
        <v>4</v>
      </c>
      <c r="X40" s="21" t="n">
        <v>4</v>
      </c>
      <c r="Y40" s="22">
        <f>INT(A40)</f>
        <v/>
      </c>
      <c r="Z40" s="21">
        <f>IF(Y40&lt;DATE(2025,3,6),1,IF(Y40&lt;DATE(2025,3,13),2,3))</f>
        <v/>
      </c>
      <c r="AA40" s="21">
        <f>COUNTBLANK(B40:X40)</f>
        <v/>
      </c>
      <c r="AB40" s="21">
        <f>B40&amp;"|"&amp;C40&amp;"|"&amp;D40&amp;"|"&amp;E40&amp;"|"&amp;F40&amp;"|"&amp;G40&amp;"|"&amp;H40&amp;"|"&amp;I40&amp;"|"&amp;J40&amp;"|"&amp;K40&amp;"|"&amp;L40&amp;"|"&amp;M40&amp;"|"&amp;N40&amp;"|"&amp;O40&amp;"|"&amp;P40&amp;"|"&amp;Q40&amp;"|"&amp;R40&amp;"|"&amp;S40&amp;"|"&amp;T40&amp;"|"&amp;U40&amp;"|"&amp;V40&amp;"|"&amp;W40&amp;"|"&amp;X40</f>
        <v/>
      </c>
      <c r="AC40" s="21">
        <f>IF(COUNTIF($AB$2:AB40,AB40)&gt;1,1,0)</f>
        <v/>
      </c>
      <c r="AD40" s="23">
        <f>STDEV(F40:X40)</f>
        <v/>
      </c>
      <c r="AE40" s="21">
        <f>IF(OR(AA40&gt;=8,AC40=1,AD40=0),0,1)</f>
        <v/>
      </c>
      <c r="AF40" s="21">
        <f>IF(AE40=1,"",IF(AC40=1,"Trùng",IF(AA40&gt;=8,"Bỏ trống "&amp;AA40&amp;" ô","Chọn cùng một mức")))</f>
        <v/>
      </c>
      <c r="AG40" s="23">
        <f>IF($AE40=1,AVERAGE(F40:I40),"")</f>
        <v/>
      </c>
      <c r="AH40" s="23">
        <f>IF($AE40=1,AVERAGE(J40:M40),"")</f>
        <v/>
      </c>
      <c r="AI40" s="23">
        <f>IF($AE40=1,AVERAGE(N40:Q40),"")</f>
        <v/>
      </c>
      <c r="AJ40" s="23">
        <f>IF($AE40=1,AVERAGE(R40:U40),"")</f>
        <v/>
      </c>
      <c r="AK40" s="23">
        <f>IF($AE40=1,AVERAGE(V40:X40),"")</f>
        <v/>
      </c>
    </row>
    <row r="41">
      <c r="A41" s="20" t="n">
        <v>45722.49097222222</v>
      </c>
      <c r="B41" s="21" t="n">
        <v>2</v>
      </c>
      <c r="C41" s="21" t="n">
        <v>1</v>
      </c>
      <c r="D41" s="21" t="n">
        <v>2</v>
      </c>
      <c r="E41" s="21" t="n">
        <v>1</v>
      </c>
      <c r="F41" s="21" t="n">
        <v>4</v>
      </c>
      <c r="G41" s="21" t="n">
        <v>5</v>
      </c>
      <c r="H41" s="21" t="n">
        <v>4</v>
      </c>
      <c r="I41" s="21" t="n">
        <v>4</v>
      </c>
      <c r="J41" s="21" t="n">
        <v>2</v>
      </c>
      <c r="K41" s="21" t="n">
        <v>2</v>
      </c>
      <c r="L41" s="21" t="n">
        <v>3</v>
      </c>
      <c r="M41" s="21" t="n">
        <v>2</v>
      </c>
      <c r="N41" s="21" t="n">
        <v>4</v>
      </c>
      <c r="O41" s="21" t="n">
        <v>4</v>
      </c>
      <c r="P41" s="21" t="n">
        <v>4</v>
      </c>
      <c r="Q41" s="21" t="n">
        <v>4</v>
      </c>
      <c r="R41" s="21" t="n">
        <v>3</v>
      </c>
      <c r="S41" s="21" t="n">
        <v>2</v>
      </c>
      <c r="T41" s="21" t="n">
        <v>3</v>
      </c>
      <c r="U41" s="21" t="n">
        <v>2</v>
      </c>
      <c r="V41" s="21" t="n">
        <v>3</v>
      </c>
      <c r="W41" s="21" t="n">
        <v>4</v>
      </c>
      <c r="X41" s="21" t="n">
        <v>3</v>
      </c>
      <c r="Y41" s="22">
        <f>INT(A41)</f>
        <v/>
      </c>
      <c r="Z41" s="21">
        <f>IF(Y41&lt;DATE(2025,3,6),1,IF(Y41&lt;DATE(2025,3,13),2,3))</f>
        <v/>
      </c>
      <c r="AA41" s="21">
        <f>COUNTBLANK(B41:X41)</f>
        <v/>
      </c>
      <c r="AB41" s="21">
        <f>B41&amp;"|"&amp;C41&amp;"|"&amp;D41&amp;"|"&amp;E41&amp;"|"&amp;F41&amp;"|"&amp;G41&amp;"|"&amp;H41&amp;"|"&amp;I41&amp;"|"&amp;J41&amp;"|"&amp;K41&amp;"|"&amp;L41&amp;"|"&amp;M41&amp;"|"&amp;N41&amp;"|"&amp;O41&amp;"|"&amp;P41&amp;"|"&amp;Q41&amp;"|"&amp;R41&amp;"|"&amp;S41&amp;"|"&amp;T41&amp;"|"&amp;U41&amp;"|"&amp;V41&amp;"|"&amp;W41&amp;"|"&amp;X41</f>
        <v/>
      </c>
      <c r="AC41" s="21">
        <f>IF(COUNTIF($AB$2:AB41,AB41)&gt;1,1,0)</f>
        <v/>
      </c>
      <c r="AD41" s="23">
        <f>STDEV(F41:X41)</f>
        <v/>
      </c>
      <c r="AE41" s="21">
        <f>IF(OR(AA41&gt;=8,AC41=1,AD41=0),0,1)</f>
        <v/>
      </c>
      <c r="AF41" s="21">
        <f>IF(AE41=1,"",IF(AC41=1,"Trùng",IF(AA41&gt;=8,"Bỏ trống "&amp;AA41&amp;" ô","Chọn cùng một mức")))</f>
        <v/>
      </c>
      <c r="AG41" s="23">
        <f>IF($AE41=1,AVERAGE(F41:I41),"")</f>
        <v/>
      </c>
      <c r="AH41" s="23">
        <f>IF($AE41=1,AVERAGE(J41:M41),"")</f>
        <v/>
      </c>
      <c r="AI41" s="23">
        <f>IF($AE41=1,AVERAGE(N41:Q41),"")</f>
        <v/>
      </c>
      <c r="AJ41" s="23">
        <f>IF($AE41=1,AVERAGE(R41:U41),"")</f>
        <v/>
      </c>
      <c r="AK41" s="23">
        <f>IF($AE41=1,AVERAGE(V41:X41),"")</f>
        <v/>
      </c>
    </row>
    <row r="42">
      <c r="A42" s="20" t="n">
        <v>45722.62083333333</v>
      </c>
      <c r="B42" s="21" t="n">
        <v>2</v>
      </c>
      <c r="C42" s="21" t="n">
        <v>3</v>
      </c>
      <c r="D42" s="21" t="n">
        <v>3</v>
      </c>
      <c r="E42" s="21" t="n">
        <v>2</v>
      </c>
      <c r="F42" s="21" t="n">
        <v>3</v>
      </c>
      <c r="G42" s="21" t="n">
        <v>3</v>
      </c>
      <c r="H42" s="21" t="n">
        <v>2</v>
      </c>
      <c r="I42" s="21" t="n">
        <v>3</v>
      </c>
      <c r="J42" s="21" t="n">
        <v>4</v>
      </c>
      <c r="K42" s="21" t="n">
        <v>5</v>
      </c>
      <c r="L42" s="21" t="n">
        <v>4</v>
      </c>
      <c r="M42" s="21" t="n">
        <v>5</v>
      </c>
      <c r="N42" s="21" t="n">
        <v>3</v>
      </c>
      <c r="O42" s="21" t="n">
        <v>2</v>
      </c>
      <c r="P42" s="21" t="n">
        <v>2</v>
      </c>
      <c r="Q42" s="21" t="n">
        <v>3</v>
      </c>
      <c r="R42" s="21" t="n">
        <v>3</v>
      </c>
      <c r="S42" s="21" t="n">
        <v>3</v>
      </c>
      <c r="T42" s="21" t="n">
        <v>4</v>
      </c>
      <c r="U42" s="21" t="n">
        <v>4</v>
      </c>
      <c r="V42" s="21" t="n">
        <v>4</v>
      </c>
      <c r="W42" s="21" t="n">
        <v>1</v>
      </c>
      <c r="X42" s="21" t="n">
        <v>3</v>
      </c>
      <c r="Y42" s="22">
        <f>INT(A42)</f>
        <v/>
      </c>
      <c r="Z42" s="21">
        <f>IF(Y42&lt;DATE(2025,3,6),1,IF(Y42&lt;DATE(2025,3,13),2,3))</f>
        <v/>
      </c>
      <c r="AA42" s="21">
        <f>COUNTBLANK(B42:X42)</f>
        <v/>
      </c>
      <c r="AB42" s="21">
        <f>B42&amp;"|"&amp;C42&amp;"|"&amp;D42&amp;"|"&amp;E42&amp;"|"&amp;F42&amp;"|"&amp;G42&amp;"|"&amp;H42&amp;"|"&amp;I42&amp;"|"&amp;J42&amp;"|"&amp;K42&amp;"|"&amp;L42&amp;"|"&amp;M42&amp;"|"&amp;N42&amp;"|"&amp;O42&amp;"|"&amp;P42&amp;"|"&amp;Q42&amp;"|"&amp;R42&amp;"|"&amp;S42&amp;"|"&amp;T42&amp;"|"&amp;U42&amp;"|"&amp;V42&amp;"|"&amp;W42&amp;"|"&amp;X42</f>
        <v/>
      </c>
      <c r="AC42" s="21">
        <f>IF(COUNTIF($AB$2:AB42,AB42)&gt;1,1,0)</f>
        <v/>
      </c>
      <c r="AD42" s="23">
        <f>STDEV(F42:X42)</f>
        <v/>
      </c>
      <c r="AE42" s="21">
        <f>IF(OR(AA42&gt;=8,AC42=1,AD42=0),0,1)</f>
        <v/>
      </c>
      <c r="AF42" s="21">
        <f>IF(AE42=1,"",IF(AC42=1,"Trùng",IF(AA42&gt;=8,"Bỏ trống "&amp;AA42&amp;" ô","Chọn cùng một mức")))</f>
        <v/>
      </c>
      <c r="AG42" s="23">
        <f>IF($AE42=1,AVERAGE(F42:I42),"")</f>
        <v/>
      </c>
      <c r="AH42" s="23">
        <f>IF($AE42=1,AVERAGE(J42:M42),"")</f>
        <v/>
      </c>
      <c r="AI42" s="23">
        <f>IF($AE42=1,AVERAGE(N42:Q42),"")</f>
        <v/>
      </c>
      <c r="AJ42" s="23">
        <f>IF($AE42=1,AVERAGE(R42:U42),"")</f>
        <v/>
      </c>
      <c r="AK42" s="23">
        <f>IF($AE42=1,AVERAGE(V42:X42),"")</f>
        <v/>
      </c>
    </row>
    <row r="43">
      <c r="A43" s="20" t="n">
        <v>45722.64791666667</v>
      </c>
      <c r="B43" s="21" t="n">
        <v>2</v>
      </c>
      <c r="C43" s="21" t="n">
        <v>2</v>
      </c>
      <c r="D43" s="21" t="n">
        <v>1</v>
      </c>
      <c r="E43" s="21" t="n">
        <v>1</v>
      </c>
      <c r="F43" s="21" t="n">
        <v>3</v>
      </c>
      <c r="G43" s="21" t="n">
        <v>2</v>
      </c>
      <c r="H43" s="21" t="n">
        <v>4</v>
      </c>
      <c r="I43" s="21" t="n">
        <v>3</v>
      </c>
      <c r="J43" s="21" t="n">
        <v>3</v>
      </c>
      <c r="K43" s="21" t="n">
        <v>3</v>
      </c>
      <c r="L43" s="21" t="n">
        <v>4</v>
      </c>
      <c r="M43" s="21" t="n">
        <v>3</v>
      </c>
      <c r="N43" s="21" t="n">
        <v>2</v>
      </c>
      <c r="O43" s="21" t="n">
        <v>1</v>
      </c>
      <c r="P43" s="21" t="n">
        <v>3</v>
      </c>
      <c r="Q43" s="21" t="n">
        <v>2</v>
      </c>
      <c r="R43" s="21" t="n">
        <v>3</v>
      </c>
      <c r="S43" s="21" t="n">
        <v>3</v>
      </c>
      <c r="T43" s="21" t="n">
        <v>3</v>
      </c>
      <c r="U43" s="21" t="n">
        <v>4</v>
      </c>
      <c r="V43" s="21" t="n">
        <v>4</v>
      </c>
      <c r="W43" s="21" t="n">
        <v>3</v>
      </c>
      <c r="X43" s="21" t="n">
        <v>4</v>
      </c>
      <c r="Y43" s="22">
        <f>INT(A43)</f>
        <v/>
      </c>
      <c r="Z43" s="21">
        <f>IF(Y43&lt;DATE(2025,3,6),1,IF(Y43&lt;DATE(2025,3,13),2,3))</f>
        <v/>
      </c>
      <c r="AA43" s="21">
        <f>COUNTBLANK(B43:X43)</f>
        <v/>
      </c>
      <c r="AB43" s="21">
        <f>B43&amp;"|"&amp;C43&amp;"|"&amp;D43&amp;"|"&amp;E43&amp;"|"&amp;F43&amp;"|"&amp;G43&amp;"|"&amp;H43&amp;"|"&amp;I43&amp;"|"&amp;J43&amp;"|"&amp;K43&amp;"|"&amp;L43&amp;"|"&amp;M43&amp;"|"&amp;N43&amp;"|"&amp;O43&amp;"|"&amp;P43&amp;"|"&amp;Q43&amp;"|"&amp;R43&amp;"|"&amp;S43&amp;"|"&amp;T43&amp;"|"&amp;U43&amp;"|"&amp;V43&amp;"|"&amp;W43&amp;"|"&amp;X43</f>
        <v/>
      </c>
      <c r="AC43" s="21">
        <f>IF(COUNTIF($AB$2:AB43,AB43)&gt;1,1,0)</f>
        <v/>
      </c>
      <c r="AD43" s="23">
        <f>STDEV(F43:X43)</f>
        <v/>
      </c>
      <c r="AE43" s="21">
        <f>IF(OR(AA43&gt;=8,AC43=1,AD43=0),0,1)</f>
        <v/>
      </c>
      <c r="AF43" s="21">
        <f>IF(AE43=1,"",IF(AC43=1,"Trùng",IF(AA43&gt;=8,"Bỏ trống "&amp;AA43&amp;" ô","Chọn cùng một mức")))</f>
        <v/>
      </c>
      <c r="AG43" s="23">
        <f>IF($AE43=1,AVERAGE(F43:I43),"")</f>
        <v/>
      </c>
      <c r="AH43" s="23">
        <f>IF($AE43=1,AVERAGE(J43:M43),"")</f>
        <v/>
      </c>
      <c r="AI43" s="23">
        <f>IF($AE43=1,AVERAGE(N43:Q43),"")</f>
        <v/>
      </c>
      <c r="AJ43" s="23">
        <f>IF($AE43=1,AVERAGE(R43:U43),"")</f>
        <v/>
      </c>
      <c r="AK43" s="23">
        <f>IF($AE43=1,AVERAGE(V43:X43),"")</f>
        <v/>
      </c>
    </row>
    <row r="44">
      <c r="A44" s="20" t="n">
        <v>45722.72847222222</v>
      </c>
      <c r="B44" s="21" t="n">
        <v>2</v>
      </c>
      <c r="C44" s="21" t="n">
        <v>1</v>
      </c>
      <c r="D44" s="21" t="n">
        <v>1</v>
      </c>
      <c r="E44" s="21" t="n">
        <v>2</v>
      </c>
      <c r="F44" s="21" t="n">
        <v>4</v>
      </c>
      <c r="G44" s="21" t="n">
        <v>5</v>
      </c>
      <c r="H44" s="21" t="n">
        <v>4</v>
      </c>
      <c r="I44" s="21" t="n">
        <v>5</v>
      </c>
      <c r="J44" s="21" t="n">
        <v>3</v>
      </c>
      <c r="K44" s="21" t="n">
        <v>3</v>
      </c>
      <c r="L44" s="21" t="n">
        <v>3</v>
      </c>
      <c r="M44" s="21" t="n">
        <v>2</v>
      </c>
      <c r="N44" s="21" t="n">
        <v>4</v>
      </c>
      <c r="O44" s="21" t="n">
        <v>4</v>
      </c>
      <c r="P44" s="21" t="n">
        <v>4</v>
      </c>
      <c r="Q44" s="21" t="n">
        <v>5</v>
      </c>
      <c r="R44" s="21" t="n">
        <v>4</v>
      </c>
      <c r="S44" s="21" t="n">
        <v>4</v>
      </c>
      <c r="T44" s="21" t="n">
        <v>4</v>
      </c>
      <c r="U44" s="21" t="n">
        <v>3</v>
      </c>
      <c r="V44" s="21" t="n">
        <v>4</v>
      </c>
      <c r="W44" s="21" t="n">
        <v>3</v>
      </c>
      <c r="X44" s="21" t="n">
        <v>5</v>
      </c>
      <c r="Y44" s="22">
        <f>INT(A44)</f>
        <v/>
      </c>
      <c r="Z44" s="21">
        <f>IF(Y44&lt;DATE(2025,3,6),1,IF(Y44&lt;DATE(2025,3,13),2,3))</f>
        <v/>
      </c>
      <c r="AA44" s="21">
        <f>COUNTBLANK(B44:X44)</f>
        <v/>
      </c>
      <c r="AB44" s="21">
        <f>B44&amp;"|"&amp;C44&amp;"|"&amp;D44&amp;"|"&amp;E44&amp;"|"&amp;F44&amp;"|"&amp;G44&amp;"|"&amp;H44&amp;"|"&amp;I44&amp;"|"&amp;J44&amp;"|"&amp;K44&amp;"|"&amp;L44&amp;"|"&amp;M44&amp;"|"&amp;N44&amp;"|"&amp;O44&amp;"|"&amp;P44&amp;"|"&amp;Q44&amp;"|"&amp;R44&amp;"|"&amp;S44&amp;"|"&amp;T44&amp;"|"&amp;U44&amp;"|"&amp;V44&amp;"|"&amp;W44&amp;"|"&amp;X44</f>
        <v/>
      </c>
      <c r="AC44" s="21">
        <f>IF(COUNTIF($AB$2:AB44,AB44)&gt;1,1,0)</f>
        <v/>
      </c>
      <c r="AD44" s="23">
        <f>STDEV(F44:X44)</f>
        <v/>
      </c>
      <c r="AE44" s="21">
        <f>IF(OR(AA44&gt;=8,AC44=1,AD44=0),0,1)</f>
        <v/>
      </c>
      <c r="AF44" s="21">
        <f>IF(AE44=1,"",IF(AC44=1,"Trùng",IF(AA44&gt;=8,"Bỏ trống "&amp;AA44&amp;" ô","Chọn cùng một mức")))</f>
        <v/>
      </c>
      <c r="AG44" s="23">
        <f>IF($AE44=1,AVERAGE(F44:I44),"")</f>
        <v/>
      </c>
      <c r="AH44" s="23">
        <f>IF($AE44=1,AVERAGE(J44:M44),"")</f>
        <v/>
      </c>
      <c r="AI44" s="23">
        <f>IF($AE44=1,AVERAGE(N44:Q44),"")</f>
        <v/>
      </c>
      <c r="AJ44" s="23">
        <f>IF($AE44=1,AVERAGE(R44:U44),"")</f>
        <v/>
      </c>
      <c r="AK44" s="23">
        <f>IF($AE44=1,AVERAGE(V44:X44),"")</f>
        <v/>
      </c>
    </row>
    <row r="45">
      <c r="A45" s="20" t="n">
        <v>45722.83472222222</v>
      </c>
      <c r="B45" s="21" t="n">
        <v>2</v>
      </c>
      <c r="C45" s="21" t="n">
        <v>1</v>
      </c>
      <c r="D45" s="21" t="n">
        <v>3</v>
      </c>
      <c r="E45" s="21" t="n">
        <v>2</v>
      </c>
      <c r="F45" s="21" t="n">
        <v>4</v>
      </c>
      <c r="G45" s="21" t="n">
        <v>4</v>
      </c>
      <c r="H45" s="21" t="n">
        <v>5</v>
      </c>
      <c r="I45" s="21" t="n">
        <v>4</v>
      </c>
      <c r="J45" s="21" t="n">
        <v>4</v>
      </c>
      <c r="K45" s="21" t="n">
        <v>5</v>
      </c>
      <c r="L45" s="21" t="n">
        <v>5</v>
      </c>
      <c r="M45" s="21" t="n">
        <v>4</v>
      </c>
      <c r="N45" s="21" t="n">
        <v>4</v>
      </c>
      <c r="O45" s="21" t="n">
        <v>5</v>
      </c>
      <c r="P45" s="21" t="n">
        <v>3</v>
      </c>
      <c r="Q45" s="21" t="n">
        <v>5</v>
      </c>
      <c r="R45" s="21" t="n">
        <v>3</v>
      </c>
      <c r="S45" s="21" t="n">
        <v>4</v>
      </c>
      <c r="T45" s="21" t="n">
        <v>4</v>
      </c>
      <c r="U45" s="21" t="n">
        <v>3</v>
      </c>
      <c r="V45" s="21" t="n">
        <v>5</v>
      </c>
      <c r="W45" s="21" t="n">
        <v>4</v>
      </c>
      <c r="X45" s="21" t="n">
        <v>4</v>
      </c>
      <c r="Y45" s="22">
        <f>INT(A45)</f>
        <v/>
      </c>
      <c r="Z45" s="21">
        <f>IF(Y45&lt;DATE(2025,3,6),1,IF(Y45&lt;DATE(2025,3,13),2,3))</f>
        <v/>
      </c>
      <c r="AA45" s="21">
        <f>COUNTBLANK(B45:X45)</f>
        <v/>
      </c>
      <c r="AB45" s="21">
        <f>B45&amp;"|"&amp;C45&amp;"|"&amp;D45&amp;"|"&amp;E45&amp;"|"&amp;F45&amp;"|"&amp;G45&amp;"|"&amp;H45&amp;"|"&amp;I45&amp;"|"&amp;J45&amp;"|"&amp;K45&amp;"|"&amp;L45&amp;"|"&amp;M45&amp;"|"&amp;N45&amp;"|"&amp;O45&amp;"|"&amp;P45&amp;"|"&amp;Q45&amp;"|"&amp;R45&amp;"|"&amp;S45&amp;"|"&amp;T45&amp;"|"&amp;U45&amp;"|"&amp;V45&amp;"|"&amp;W45&amp;"|"&amp;X45</f>
        <v/>
      </c>
      <c r="AC45" s="21">
        <f>IF(COUNTIF($AB$2:AB45,AB45)&gt;1,1,0)</f>
        <v/>
      </c>
      <c r="AD45" s="23">
        <f>STDEV(F45:X45)</f>
        <v/>
      </c>
      <c r="AE45" s="21">
        <f>IF(OR(AA45&gt;=8,AC45=1,AD45=0),0,1)</f>
        <v/>
      </c>
      <c r="AF45" s="21">
        <f>IF(AE45=1,"",IF(AC45=1,"Trùng",IF(AA45&gt;=8,"Bỏ trống "&amp;AA45&amp;" ô","Chọn cùng một mức")))</f>
        <v/>
      </c>
      <c r="AG45" s="23">
        <f>IF($AE45=1,AVERAGE(F45:I45),"")</f>
        <v/>
      </c>
      <c r="AH45" s="23">
        <f>IF($AE45=1,AVERAGE(J45:M45),"")</f>
        <v/>
      </c>
      <c r="AI45" s="23">
        <f>IF($AE45=1,AVERAGE(N45:Q45),"")</f>
        <v/>
      </c>
      <c r="AJ45" s="23">
        <f>IF($AE45=1,AVERAGE(R45:U45),"")</f>
        <v/>
      </c>
      <c r="AK45" s="23">
        <f>IF($AE45=1,AVERAGE(V45:X45),"")</f>
        <v/>
      </c>
    </row>
    <row r="46">
      <c r="A46" s="20" t="n">
        <v>45722.88888888889</v>
      </c>
      <c r="B46" s="21" t="n">
        <v>1</v>
      </c>
      <c r="C46" s="21" t="n">
        <v>1</v>
      </c>
      <c r="D46" s="21" t="n">
        <v>1</v>
      </c>
      <c r="E46" s="21" t="n">
        <v>3</v>
      </c>
      <c r="F46" s="21" t="n">
        <v>4</v>
      </c>
      <c r="G46" s="21" t="n">
        <v>3</v>
      </c>
      <c r="H46" s="21" t="n">
        <v>4</v>
      </c>
      <c r="I46" s="21" t="n">
        <v>3</v>
      </c>
      <c r="J46" s="21" t="n">
        <v>3</v>
      </c>
      <c r="K46" s="21" t="n">
        <v>4</v>
      </c>
      <c r="L46" s="21" t="n">
        <v>4</v>
      </c>
      <c r="M46" s="21" t="n">
        <v>3</v>
      </c>
      <c r="N46" s="21" t="n">
        <v>5</v>
      </c>
      <c r="O46" s="21" t="n">
        <v>4</v>
      </c>
      <c r="P46" s="21" t="n">
        <v>5</v>
      </c>
      <c r="Q46" s="21" t="n">
        <v>5</v>
      </c>
      <c r="R46" s="21" t="n">
        <v>3</v>
      </c>
      <c r="S46" s="21" t="n">
        <v>4</v>
      </c>
      <c r="T46" s="21" t="n">
        <v>4</v>
      </c>
      <c r="U46" s="21" t="n">
        <v>5</v>
      </c>
      <c r="V46" s="21" t="n">
        <v>5</v>
      </c>
      <c r="W46" s="21" t="n">
        <v>4</v>
      </c>
      <c r="X46" s="21" t="n">
        <v>5</v>
      </c>
      <c r="Y46" s="22">
        <f>INT(A46)</f>
        <v/>
      </c>
      <c r="Z46" s="21">
        <f>IF(Y46&lt;DATE(2025,3,6),1,IF(Y46&lt;DATE(2025,3,13),2,3))</f>
        <v/>
      </c>
      <c r="AA46" s="21">
        <f>COUNTBLANK(B46:X46)</f>
        <v/>
      </c>
      <c r="AB46" s="21">
        <f>B46&amp;"|"&amp;C46&amp;"|"&amp;D46&amp;"|"&amp;E46&amp;"|"&amp;F46&amp;"|"&amp;G46&amp;"|"&amp;H46&amp;"|"&amp;I46&amp;"|"&amp;J46&amp;"|"&amp;K46&amp;"|"&amp;L46&amp;"|"&amp;M46&amp;"|"&amp;N46&amp;"|"&amp;O46&amp;"|"&amp;P46&amp;"|"&amp;Q46&amp;"|"&amp;R46&amp;"|"&amp;S46&amp;"|"&amp;T46&amp;"|"&amp;U46&amp;"|"&amp;V46&amp;"|"&amp;W46&amp;"|"&amp;X46</f>
        <v/>
      </c>
      <c r="AC46" s="21">
        <f>IF(COUNTIF($AB$2:AB46,AB46)&gt;1,1,0)</f>
        <v/>
      </c>
      <c r="AD46" s="23">
        <f>STDEV(F46:X46)</f>
        <v/>
      </c>
      <c r="AE46" s="21">
        <f>IF(OR(AA46&gt;=8,AC46=1,AD46=0),0,1)</f>
        <v/>
      </c>
      <c r="AF46" s="21">
        <f>IF(AE46=1,"",IF(AC46=1,"Trùng",IF(AA46&gt;=8,"Bỏ trống "&amp;AA46&amp;" ô","Chọn cùng một mức")))</f>
        <v/>
      </c>
      <c r="AG46" s="23">
        <f>IF($AE46=1,AVERAGE(F46:I46),"")</f>
        <v/>
      </c>
      <c r="AH46" s="23">
        <f>IF($AE46=1,AVERAGE(J46:M46),"")</f>
        <v/>
      </c>
      <c r="AI46" s="23">
        <f>IF($AE46=1,AVERAGE(N46:Q46),"")</f>
        <v/>
      </c>
      <c r="AJ46" s="23">
        <f>IF($AE46=1,AVERAGE(R46:U46),"")</f>
        <v/>
      </c>
      <c r="AK46" s="23">
        <f>IF($AE46=1,AVERAGE(V46:X46),"")</f>
        <v/>
      </c>
    </row>
    <row r="47">
      <c r="A47" s="20" t="n">
        <v>45722.89097222222</v>
      </c>
      <c r="B47" s="21" t="n">
        <v>1</v>
      </c>
      <c r="C47" s="21" t="n">
        <v>3</v>
      </c>
      <c r="D47" s="21" t="n">
        <v>2</v>
      </c>
      <c r="E47" s="21" t="n">
        <v>3</v>
      </c>
      <c r="F47" s="21" t="n">
        <v>3</v>
      </c>
      <c r="G47" s="21" t="n">
        <v>3</v>
      </c>
      <c r="H47" s="21" t="n"/>
      <c r="I47" s="21" t="n">
        <v>3</v>
      </c>
      <c r="J47" s="21" t="n">
        <v>2</v>
      </c>
      <c r="K47" s="21" t="n">
        <v>4</v>
      </c>
      <c r="L47" s="21" t="n">
        <v>4</v>
      </c>
      <c r="M47" s="21" t="n">
        <v>4</v>
      </c>
      <c r="N47" s="21" t="n">
        <v>3</v>
      </c>
      <c r="O47" s="21" t="n">
        <v>2</v>
      </c>
      <c r="P47" s="21" t="n">
        <v>3</v>
      </c>
      <c r="Q47" s="21" t="n">
        <v>4</v>
      </c>
      <c r="R47" s="21" t="n">
        <v>2</v>
      </c>
      <c r="S47" s="21" t="n">
        <v>3</v>
      </c>
      <c r="T47" s="21" t="n">
        <v>2</v>
      </c>
      <c r="U47" s="21" t="n">
        <v>3</v>
      </c>
      <c r="V47" s="21" t="n">
        <v>2</v>
      </c>
      <c r="W47" s="21" t="n">
        <v>3</v>
      </c>
      <c r="X47" s="21" t="n">
        <v>3</v>
      </c>
      <c r="Y47" s="22">
        <f>INT(A47)</f>
        <v/>
      </c>
      <c r="Z47" s="21">
        <f>IF(Y47&lt;DATE(2025,3,6),1,IF(Y47&lt;DATE(2025,3,13),2,3))</f>
        <v/>
      </c>
      <c r="AA47" s="21">
        <f>COUNTBLANK(B47:X47)</f>
        <v/>
      </c>
      <c r="AB47" s="21">
        <f>B47&amp;"|"&amp;C47&amp;"|"&amp;D47&amp;"|"&amp;E47&amp;"|"&amp;F47&amp;"|"&amp;G47&amp;"|"&amp;H47&amp;"|"&amp;I47&amp;"|"&amp;J47&amp;"|"&amp;K47&amp;"|"&amp;L47&amp;"|"&amp;M47&amp;"|"&amp;N47&amp;"|"&amp;O47&amp;"|"&amp;P47&amp;"|"&amp;Q47&amp;"|"&amp;R47&amp;"|"&amp;S47&amp;"|"&amp;T47&amp;"|"&amp;U47&amp;"|"&amp;V47&amp;"|"&amp;W47&amp;"|"&amp;X47</f>
        <v/>
      </c>
      <c r="AC47" s="21">
        <f>IF(COUNTIF($AB$2:AB47,AB47)&gt;1,1,0)</f>
        <v/>
      </c>
      <c r="AD47" s="23">
        <f>STDEV(F47:X47)</f>
        <v/>
      </c>
      <c r="AE47" s="21">
        <f>IF(OR(AA47&gt;=8,AC47=1,AD47=0),0,1)</f>
        <v/>
      </c>
      <c r="AF47" s="21">
        <f>IF(AE47=1,"",IF(AC47=1,"Trùng",IF(AA47&gt;=8,"Bỏ trống "&amp;AA47&amp;" ô","Chọn cùng một mức")))</f>
        <v/>
      </c>
      <c r="AG47" s="23">
        <f>IF($AE47=1,AVERAGE(F47:I47),"")</f>
        <v/>
      </c>
      <c r="AH47" s="23">
        <f>IF($AE47=1,AVERAGE(J47:M47),"")</f>
        <v/>
      </c>
      <c r="AI47" s="23">
        <f>IF($AE47=1,AVERAGE(N47:Q47),"")</f>
        <v/>
      </c>
      <c r="AJ47" s="23">
        <f>IF($AE47=1,AVERAGE(R47:U47),"")</f>
        <v/>
      </c>
      <c r="AK47" s="23">
        <f>IF($AE47=1,AVERAGE(V47:X47),"")</f>
        <v/>
      </c>
    </row>
    <row r="48">
      <c r="A48" s="20" t="n">
        <v>45722.92569444444</v>
      </c>
      <c r="B48" s="21" t="n">
        <v>1</v>
      </c>
      <c r="C48" s="21" t="n">
        <v>2</v>
      </c>
      <c r="D48" s="21" t="n">
        <v>3</v>
      </c>
      <c r="E48" s="21" t="n">
        <v>1</v>
      </c>
      <c r="F48" s="21" t="n">
        <v>2</v>
      </c>
      <c r="G48" s="21" t="n">
        <v>2</v>
      </c>
      <c r="H48" s="21" t="n">
        <v>3</v>
      </c>
      <c r="I48" s="21" t="n">
        <v>2</v>
      </c>
      <c r="J48" s="21" t="n">
        <v>3</v>
      </c>
      <c r="K48" s="21" t="n">
        <v>4</v>
      </c>
      <c r="L48" s="21" t="n">
        <v>3</v>
      </c>
      <c r="M48" s="21" t="n">
        <v>2</v>
      </c>
      <c r="N48" s="21" t="n">
        <v>3</v>
      </c>
      <c r="O48" s="21" t="n">
        <v>4</v>
      </c>
      <c r="P48" s="21" t="n">
        <v>3</v>
      </c>
      <c r="Q48" s="21" t="n">
        <v>1</v>
      </c>
      <c r="R48" s="21" t="n">
        <v>3</v>
      </c>
      <c r="S48" s="21" t="n">
        <v>3</v>
      </c>
      <c r="T48" s="21" t="n">
        <v>3</v>
      </c>
      <c r="U48" s="21" t="n">
        <v>2</v>
      </c>
      <c r="V48" s="21" t="n">
        <v>2</v>
      </c>
      <c r="W48" s="21" t="n">
        <v>3</v>
      </c>
      <c r="X48" s="21" t="n">
        <v>3</v>
      </c>
      <c r="Y48" s="22">
        <f>INT(A48)</f>
        <v/>
      </c>
      <c r="Z48" s="21">
        <f>IF(Y48&lt;DATE(2025,3,6),1,IF(Y48&lt;DATE(2025,3,13),2,3))</f>
        <v/>
      </c>
      <c r="AA48" s="21">
        <f>COUNTBLANK(B48:X48)</f>
        <v/>
      </c>
      <c r="AB48" s="21">
        <f>B48&amp;"|"&amp;C48&amp;"|"&amp;D48&amp;"|"&amp;E48&amp;"|"&amp;F48&amp;"|"&amp;G48&amp;"|"&amp;H48&amp;"|"&amp;I48&amp;"|"&amp;J48&amp;"|"&amp;K48&amp;"|"&amp;L48&amp;"|"&amp;M48&amp;"|"&amp;N48&amp;"|"&amp;O48&amp;"|"&amp;P48&amp;"|"&amp;Q48&amp;"|"&amp;R48&amp;"|"&amp;S48&amp;"|"&amp;T48&amp;"|"&amp;U48&amp;"|"&amp;V48&amp;"|"&amp;W48&amp;"|"&amp;X48</f>
        <v/>
      </c>
      <c r="AC48" s="21">
        <f>IF(COUNTIF($AB$2:AB48,AB48)&gt;1,1,0)</f>
        <v/>
      </c>
      <c r="AD48" s="23">
        <f>STDEV(F48:X48)</f>
        <v/>
      </c>
      <c r="AE48" s="21">
        <f>IF(OR(AA48&gt;=8,AC48=1,AD48=0),0,1)</f>
        <v/>
      </c>
      <c r="AF48" s="21">
        <f>IF(AE48=1,"",IF(AC48=1,"Trùng",IF(AA48&gt;=8,"Bỏ trống "&amp;AA48&amp;" ô","Chọn cùng một mức")))</f>
        <v/>
      </c>
      <c r="AG48" s="23">
        <f>IF($AE48=1,AVERAGE(F48:I48),"")</f>
        <v/>
      </c>
      <c r="AH48" s="23">
        <f>IF($AE48=1,AVERAGE(J48:M48),"")</f>
        <v/>
      </c>
      <c r="AI48" s="23">
        <f>IF($AE48=1,AVERAGE(N48:Q48),"")</f>
        <v/>
      </c>
      <c r="AJ48" s="23">
        <f>IF($AE48=1,AVERAGE(R48:U48),"")</f>
        <v/>
      </c>
      <c r="AK48" s="23">
        <f>IF($AE48=1,AVERAGE(V48:X48),"")</f>
        <v/>
      </c>
    </row>
    <row r="49">
      <c r="A49" s="20" t="n">
        <v>45722.97152777778</v>
      </c>
      <c r="B49" s="21" t="n">
        <v>2</v>
      </c>
      <c r="C49" s="21" t="n">
        <v>3</v>
      </c>
      <c r="D49" s="21" t="n">
        <v>2</v>
      </c>
      <c r="E49" s="21" t="n">
        <v>3</v>
      </c>
      <c r="F49" s="21" t="n">
        <v>4</v>
      </c>
      <c r="G49" s="21" t="n">
        <v>3</v>
      </c>
      <c r="H49" s="21" t="n">
        <v>2</v>
      </c>
      <c r="I49" s="21" t="n">
        <v>3</v>
      </c>
      <c r="J49" s="21" t="n">
        <v>2</v>
      </c>
      <c r="K49" s="21" t="n">
        <v>3</v>
      </c>
      <c r="L49" s="21" t="n">
        <v>4</v>
      </c>
      <c r="M49" s="21" t="n">
        <v>3</v>
      </c>
      <c r="N49" s="21" t="n">
        <v>3</v>
      </c>
      <c r="O49" s="21" t="n">
        <v>2</v>
      </c>
      <c r="P49" s="21" t="n">
        <v>2</v>
      </c>
      <c r="Q49" s="21" t="n">
        <v>2</v>
      </c>
      <c r="R49" s="21" t="n">
        <v>3</v>
      </c>
      <c r="S49" s="21" t="n">
        <v>3</v>
      </c>
      <c r="T49" s="21" t="n">
        <v>3</v>
      </c>
      <c r="U49" s="21" t="n">
        <v>3</v>
      </c>
      <c r="V49" s="21" t="n">
        <v>3</v>
      </c>
      <c r="W49" s="21" t="n">
        <v>3</v>
      </c>
      <c r="X49" s="21" t="n">
        <v>2</v>
      </c>
      <c r="Y49" s="22">
        <f>INT(A49)</f>
        <v/>
      </c>
      <c r="Z49" s="21">
        <f>IF(Y49&lt;DATE(2025,3,6),1,IF(Y49&lt;DATE(2025,3,13),2,3))</f>
        <v/>
      </c>
      <c r="AA49" s="21">
        <f>COUNTBLANK(B49:X49)</f>
        <v/>
      </c>
      <c r="AB49" s="21">
        <f>B49&amp;"|"&amp;C49&amp;"|"&amp;D49&amp;"|"&amp;E49&amp;"|"&amp;F49&amp;"|"&amp;G49&amp;"|"&amp;H49&amp;"|"&amp;I49&amp;"|"&amp;J49&amp;"|"&amp;K49&amp;"|"&amp;L49&amp;"|"&amp;M49&amp;"|"&amp;N49&amp;"|"&amp;O49&amp;"|"&amp;P49&amp;"|"&amp;Q49&amp;"|"&amp;R49&amp;"|"&amp;S49&amp;"|"&amp;T49&amp;"|"&amp;U49&amp;"|"&amp;V49&amp;"|"&amp;W49&amp;"|"&amp;X49</f>
        <v/>
      </c>
      <c r="AC49" s="21">
        <f>IF(COUNTIF($AB$2:AB49,AB49)&gt;1,1,0)</f>
        <v/>
      </c>
      <c r="AD49" s="23">
        <f>STDEV(F49:X49)</f>
        <v/>
      </c>
      <c r="AE49" s="21">
        <f>IF(OR(AA49&gt;=8,AC49=1,AD49=0),0,1)</f>
        <v/>
      </c>
      <c r="AF49" s="21">
        <f>IF(AE49=1,"",IF(AC49=1,"Trùng",IF(AA49&gt;=8,"Bỏ trống "&amp;AA49&amp;" ô","Chọn cùng một mức")))</f>
        <v/>
      </c>
      <c r="AG49" s="23">
        <f>IF($AE49=1,AVERAGE(F49:I49),"")</f>
        <v/>
      </c>
      <c r="AH49" s="23">
        <f>IF($AE49=1,AVERAGE(J49:M49),"")</f>
        <v/>
      </c>
      <c r="AI49" s="23">
        <f>IF($AE49=1,AVERAGE(N49:Q49),"")</f>
        <v/>
      </c>
      <c r="AJ49" s="23">
        <f>IF($AE49=1,AVERAGE(R49:U49),"")</f>
        <v/>
      </c>
      <c r="AK49" s="23">
        <f>IF($AE49=1,AVERAGE(V49:X49),"")</f>
        <v/>
      </c>
    </row>
    <row r="50">
      <c r="A50" s="20" t="n">
        <v>45722.98333333333</v>
      </c>
      <c r="B50" s="21" t="n">
        <v>2</v>
      </c>
      <c r="C50" s="21" t="n">
        <v>4</v>
      </c>
      <c r="D50" s="21" t="n">
        <v>1</v>
      </c>
      <c r="E50" s="21" t="n">
        <v>2</v>
      </c>
      <c r="F50" s="21" t="n">
        <v>5</v>
      </c>
      <c r="G50" s="21" t="n">
        <v>4</v>
      </c>
      <c r="H50" s="21" t="n">
        <v>5</v>
      </c>
      <c r="I50" s="21" t="n">
        <v>5</v>
      </c>
      <c r="J50" s="21" t="n">
        <v>4</v>
      </c>
      <c r="K50" s="21" t="n">
        <v>4</v>
      </c>
      <c r="L50" s="21" t="n">
        <v>4</v>
      </c>
      <c r="M50" s="21" t="n">
        <v>3</v>
      </c>
      <c r="N50" s="21" t="n">
        <v>4</v>
      </c>
      <c r="O50" s="21" t="n">
        <v>3</v>
      </c>
      <c r="P50" s="21" t="n">
        <v>4</v>
      </c>
      <c r="Q50" s="21" t="n">
        <v>4</v>
      </c>
      <c r="R50" s="21" t="n">
        <v>4</v>
      </c>
      <c r="S50" s="21" t="n">
        <v>3</v>
      </c>
      <c r="T50" s="21" t="n">
        <v>2</v>
      </c>
      <c r="U50" s="21" t="n">
        <v>3</v>
      </c>
      <c r="V50" s="21" t="n">
        <v>3</v>
      </c>
      <c r="W50" s="21" t="n">
        <v>4</v>
      </c>
      <c r="X50" s="21" t="n">
        <v>4</v>
      </c>
      <c r="Y50" s="22">
        <f>INT(A50)</f>
        <v/>
      </c>
      <c r="Z50" s="21">
        <f>IF(Y50&lt;DATE(2025,3,6),1,IF(Y50&lt;DATE(2025,3,13),2,3))</f>
        <v/>
      </c>
      <c r="AA50" s="21">
        <f>COUNTBLANK(B50:X50)</f>
        <v/>
      </c>
      <c r="AB50" s="21">
        <f>B50&amp;"|"&amp;C50&amp;"|"&amp;D50&amp;"|"&amp;E50&amp;"|"&amp;F50&amp;"|"&amp;G50&amp;"|"&amp;H50&amp;"|"&amp;I50&amp;"|"&amp;J50&amp;"|"&amp;K50&amp;"|"&amp;L50&amp;"|"&amp;M50&amp;"|"&amp;N50&amp;"|"&amp;O50&amp;"|"&amp;P50&amp;"|"&amp;Q50&amp;"|"&amp;R50&amp;"|"&amp;S50&amp;"|"&amp;T50&amp;"|"&amp;U50&amp;"|"&amp;V50&amp;"|"&amp;W50&amp;"|"&amp;X50</f>
        <v/>
      </c>
      <c r="AC50" s="21">
        <f>IF(COUNTIF($AB$2:AB50,AB50)&gt;1,1,0)</f>
        <v/>
      </c>
      <c r="AD50" s="23">
        <f>STDEV(F50:X50)</f>
        <v/>
      </c>
      <c r="AE50" s="21">
        <f>IF(OR(AA50&gt;=8,AC50=1,AD50=0),0,1)</f>
        <v/>
      </c>
      <c r="AF50" s="21">
        <f>IF(AE50=1,"",IF(AC50=1,"Trùng",IF(AA50&gt;=8,"Bỏ trống "&amp;AA50&amp;" ô","Chọn cùng một mức")))</f>
        <v/>
      </c>
      <c r="AG50" s="23">
        <f>IF($AE50=1,AVERAGE(F50:I50),"")</f>
        <v/>
      </c>
      <c r="AH50" s="23">
        <f>IF($AE50=1,AVERAGE(J50:M50),"")</f>
        <v/>
      </c>
      <c r="AI50" s="23">
        <f>IF($AE50=1,AVERAGE(N50:Q50),"")</f>
        <v/>
      </c>
      <c r="AJ50" s="23">
        <f>IF($AE50=1,AVERAGE(R50:U50),"")</f>
        <v/>
      </c>
      <c r="AK50" s="23">
        <f>IF($AE50=1,AVERAGE(V50:X50),"")</f>
        <v/>
      </c>
    </row>
    <row r="51">
      <c r="A51" s="20" t="n">
        <v>45723.16597222222</v>
      </c>
      <c r="B51" s="21" t="n">
        <v>1</v>
      </c>
      <c r="C51" s="21" t="n">
        <v>3</v>
      </c>
      <c r="D51" s="21" t="n">
        <v>2</v>
      </c>
      <c r="E51" s="21" t="n">
        <v>1</v>
      </c>
      <c r="F51" s="21" t="n">
        <v>4</v>
      </c>
      <c r="G51" s="21" t="n">
        <v>4</v>
      </c>
      <c r="H51" s="21" t="n">
        <v>5</v>
      </c>
      <c r="I51" s="21" t="n">
        <v>5</v>
      </c>
      <c r="J51" s="21" t="n">
        <v>3</v>
      </c>
      <c r="K51" s="21" t="n">
        <v>4</v>
      </c>
      <c r="L51" s="21" t="n">
        <v>3</v>
      </c>
      <c r="M51" s="21" t="n">
        <v>3</v>
      </c>
      <c r="N51" s="21" t="n">
        <v>4</v>
      </c>
      <c r="O51" s="21" t="n">
        <v>4</v>
      </c>
      <c r="P51" s="21" t="n">
        <v>3</v>
      </c>
      <c r="Q51" s="21" t="n">
        <v>4</v>
      </c>
      <c r="R51" s="21" t="n">
        <v>4</v>
      </c>
      <c r="S51" s="21" t="n">
        <v>3</v>
      </c>
      <c r="T51" s="21" t="n">
        <v>3</v>
      </c>
      <c r="U51" s="21" t="n">
        <v>4</v>
      </c>
      <c r="V51" s="21" t="n">
        <v>4</v>
      </c>
      <c r="W51" s="21" t="n">
        <v>4</v>
      </c>
      <c r="X51" s="21" t="n">
        <v>4</v>
      </c>
      <c r="Y51" s="22">
        <f>INT(A51)</f>
        <v/>
      </c>
      <c r="Z51" s="21">
        <f>IF(Y51&lt;DATE(2025,3,6),1,IF(Y51&lt;DATE(2025,3,13),2,3))</f>
        <v/>
      </c>
      <c r="AA51" s="21">
        <f>COUNTBLANK(B51:X51)</f>
        <v/>
      </c>
      <c r="AB51" s="21">
        <f>B51&amp;"|"&amp;C51&amp;"|"&amp;D51&amp;"|"&amp;E51&amp;"|"&amp;F51&amp;"|"&amp;G51&amp;"|"&amp;H51&amp;"|"&amp;I51&amp;"|"&amp;J51&amp;"|"&amp;K51&amp;"|"&amp;L51&amp;"|"&amp;M51&amp;"|"&amp;N51&amp;"|"&amp;O51&amp;"|"&amp;P51&amp;"|"&amp;Q51&amp;"|"&amp;R51&amp;"|"&amp;S51&amp;"|"&amp;T51&amp;"|"&amp;U51&amp;"|"&amp;V51&amp;"|"&amp;W51&amp;"|"&amp;X51</f>
        <v/>
      </c>
      <c r="AC51" s="21">
        <f>IF(COUNTIF($AB$2:AB51,AB51)&gt;1,1,0)</f>
        <v/>
      </c>
      <c r="AD51" s="23">
        <f>STDEV(F51:X51)</f>
        <v/>
      </c>
      <c r="AE51" s="21">
        <f>IF(OR(AA51&gt;=8,AC51=1,AD51=0),0,1)</f>
        <v/>
      </c>
      <c r="AF51" s="21">
        <f>IF(AE51=1,"",IF(AC51=1,"Trùng",IF(AA51&gt;=8,"Bỏ trống "&amp;AA51&amp;" ô","Chọn cùng một mức")))</f>
        <v/>
      </c>
      <c r="AG51" s="23">
        <f>IF($AE51=1,AVERAGE(F51:I51),"")</f>
        <v/>
      </c>
      <c r="AH51" s="23">
        <f>IF($AE51=1,AVERAGE(J51:M51),"")</f>
        <v/>
      </c>
      <c r="AI51" s="23">
        <f>IF($AE51=1,AVERAGE(N51:Q51),"")</f>
        <v/>
      </c>
      <c r="AJ51" s="23">
        <f>IF($AE51=1,AVERAGE(R51:U51),"")</f>
        <v/>
      </c>
      <c r="AK51" s="23">
        <f>IF($AE51=1,AVERAGE(V51:X51),"")</f>
        <v/>
      </c>
    </row>
    <row r="52">
      <c r="A52" s="20" t="n">
        <v>45723.25416666667</v>
      </c>
      <c r="B52" s="21" t="n">
        <v>2</v>
      </c>
      <c r="C52" s="21" t="n">
        <v>4</v>
      </c>
      <c r="D52" s="21" t="n">
        <v>2</v>
      </c>
      <c r="E52" s="21" t="n">
        <v>3</v>
      </c>
      <c r="F52" s="21" t="n">
        <v>5</v>
      </c>
      <c r="G52" s="21" t="n">
        <v>3</v>
      </c>
      <c r="H52" s="21" t="n">
        <v>3</v>
      </c>
      <c r="I52" s="21" t="n">
        <v>4</v>
      </c>
      <c r="J52" s="21" t="n">
        <v>5</v>
      </c>
      <c r="K52" s="21" t="n">
        <v>5</v>
      </c>
      <c r="L52" s="21" t="n">
        <v>4</v>
      </c>
      <c r="M52" s="21" t="n">
        <v>5</v>
      </c>
      <c r="N52" s="21" t="n">
        <v>4</v>
      </c>
      <c r="O52" s="21" t="n">
        <v>3</v>
      </c>
      <c r="P52" s="21" t="n">
        <v>2</v>
      </c>
      <c r="Q52" s="21" t="n">
        <v>3</v>
      </c>
      <c r="R52" s="21" t="n">
        <v>2</v>
      </c>
      <c r="S52" s="21" t="n">
        <v>2</v>
      </c>
      <c r="T52" s="21" t="n">
        <v>2</v>
      </c>
      <c r="U52" s="21" t="n">
        <v>2</v>
      </c>
      <c r="V52" s="21" t="n">
        <v>3</v>
      </c>
      <c r="W52" s="21" t="n">
        <v>3</v>
      </c>
      <c r="X52" s="21" t="n">
        <v>3</v>
      </c>
      <c r="Y52" s="22">
        <f>INT(A52)</f>
        <v/>
      </c>
      <c r="Z52" s="21">
        <f>IF(Y52&lt;DATE(2025,3,6),1,IF(Y52&lt;DATE(2025,3,13),2,3))</f>
        <v/>
      </c>
      <c r="AA52" s="21">
        <f>COUNTBLANK(B52:X52)</f>
        <v/>
      </c>
      <c r="AB52" s="21">
        <f>B52&amp;"|"&amp;C52&amp;"|"&amp;D52&amp;"|"&amp;E52&amp;"|"&amp;F52&amp;"|"&amp;G52&amp;"|"&amp;H52&amp;"|"&amp;I52&amp;"|"&amp;J52&amp;"|"&amp;K52&amp;"|"&amp;L52&amp;"|"&amp;M52&amp;"|"&amp;N52&amp;"|"&amp;O52&amp;"|"&amp;P52&amp;"|"&amp;Q52&amp;"|"&amp;R52&amp;"|"&amp;S52&amp;"|"&amp;T52&amp;"|"&amp;U52&amp;"|"&amp;V52&amp;"|"&amp;W52&amp;"|"&amp;X52</f>
        <v/>
      </c>
      <c r="AC52" s="21">
        <f>IF(COUNTIF($AB$2:AB52,AB52)&gt;1,1,0)</f>
        <v/>
      </c>
      <c r="AD52" s="23">
        <f>STDEV(F52:X52)</f>
        <v/>
      </c>
      <c r="AE52" s="21">
        <f>IF(OR(AA52&gt;=8,AC52=1,AD52=0),0,1)</f>
        <v/>
      </c>
      <c r="AF52" s="21">
        <f>IF(AE52=1,"",IF(AC52=1,"Trùng",IF(AA52&gt;=8,"Bỏ trống "&amp;AA52&amp;" ô","Chọn cùng một mức")))</f>
        <v/>
      </c>
      <c r="AG52" s="23">
        <f>IF($AE52=1,AVERAGE(F52:I52),"")</f>
        <v/>
      </c>
      <c r="AH52" s="23">
        <f>IF($AE52=1,AVERAGE(J52:M52),"")</f>
        <v/>
      </c>
      <c r="AI52" s="23">
        <f>IF($AE52=1,AVERAGE(N52:Q52),"")</f>
        <v/>
      </c>
      <c r="AJ52" s="23">
        <f>IF($AE52=1,AVERAGE(R52:U52),"")</f>
        <v/>
      </c>
      <c r="AK52" s="23">
        <f>IF($AE52=1,AVERAGE(V52:X52),"")</f>
        <v/>
      </c>
    </row>
    <row r="53">
      <c r="A53" s="20" t="n">
        <v>45723.45694444444</v>
      </c>
      <c r="B53" s="21" t="n">
        <v>1</v>
      </c>
      <c r="C53" s="21" t="n">
        <v>2</v>
      </c>
      <c r="D53" s="21" t="n">
        <v>2</v>
      </c>
      <c r="E53" s="21" t="n">
        <v>3</v>
      </c>
      <c r="F53" s="21" t="n">
        <v>5</v>
      </c>
      <c r="G53" s="21" t="n">
        <v>4</v>
      </c>
      <c r="H53" s="21" t="n">
        <v>5</v>
      </c>
      <c r="I53" s="21" t="n">
        <v>2</v>
      </c>
      <c r="J53" s="21" t="n">
        <v>5</v>
      </c>
      <c r="K53" s="21" t="n">
        <v>3</v>
      </c>
      <c r="L53" s="21" t="n">
        <v>4</v>
      </c>
      <c r="M53" s="21" t="n">
        <v>3</v>
      </c>
      <c r="N53" s="21" t="n">
        <v>3</v>
      </c>
      <c r="O53" s="21" t="n">
        <v>3</v>
      </c>
      <c r="P53" s="21" t="n">
        <v>4</v>
      </c>
      <c r="Q53" s="21" t="n">
        <v>5</v>
      </c>
      <c r="R53" s="21" t="n">
        <v>3</v>
      </c>
      <c r="S53" s="21" t="n">
        <v>4</v>
      </c>
      <c r="T53" s="21" t="n">
        <v>2</v>
      </c>
      <c r="U53" s="21" t="n">
        <v>2</v>
      </c>
      <c r="V53" s="21" t="n">
        <v>4</v>
      </c>
      <c r="W53" s="21" t="n">
        <v>4</v>
      </c>
      <c r="X53" s="21" t="n">
        <v>4</v>
      </c>
      <c r="Y53" s="22">
        <f>INT(A53)</f>
        <v/>
      </c>
      <c r="Z53" s="21">
        <f>IF(Y53&lt;DATE(2025,3,6),1,IF(Y53&lt;DATE(2025,3,13),2,3))</f>
        <v/>
      </c>
      <c r="AA53" s="21">
        <f>COUNTBLANK(B53:X53)</f>
        <v/>
      </c>
      <c r="AB53" s="21">
        <f>B53&amp;"|"&amp;C53&amp;"|"&amp;D53&amp;"|"&amp;E53&amp;"|"&amp;F53&amp;"|"&amp;G53&amp;"|"&amp;H53&amp;"|"&amp;I53&amp;"|"&amp;J53&amp;"|"&amp;K53&amp;"|"&amp;L53&amp;"|"&amp;M53&amp;"|"&amp;N53&amp;"|"&amp;O53&amp;"|"&amp;P53&amp;"|"&amp;Q53&amp;"|"&amp;R53&amp;"|"&amp;S53&amp;"|"&amp;T53&amp;"|"&amp;U53&amp;"|"&amp;V53&amp;"|"&amp;W53&amp;"|"&amp;X53</f>
        <v/>
      </c>
      <c r="AC53" s="21">
        <f>IF(COUNTIF($AB$2:AB53,AB53)&gt;1,1,0)</f>
        <v/>
      </c>
      <c r="AD53" s="23">
        <f>STDEV(F53:X53)</f>
        <v/>
      </c>
      <c r="AE53" s="21">
        <f>IF(OR(AA53&gt;=8,AC53=1,AD53=0),0,1)</f>
        <v/>
      </c>
      <c r="AF53" s="21">
        <f>IF(AE53=1,"",IF(AC53=1,"Trùng",IF(AA53&gt;=8,"Bỏ trống "&amp;AA53&amp;" ô","Chọn cùng một mức")))</f>
        <v/>
      </c>
      <c r="AG53" s="23">
        <f>IF($AE53=1,AVERAGE(F53:I53),"")</f>
        <v/>
      </c>
      <c r="AH53" s="23">
        <f>IF($AE53=1,AVERAGE(J53:M53),"")</f>
        <v/>
      </c>
      <c r="AI53" s="23">
        <f>IF($AE53=1,AVERAGE(N53:Q53),"")</f>
        <v/>
      </c>
      <c r="AJ53" s="23">
        <f>IF($AE53=1,AVERAGE(R53:U53),"")</f>
        <v/>
      </c>
      <c r="AK53" s="23">
        <f>IF($AE53=1,AVERAGE(V53:X53),"")</f>
        <v/>
      </c>
    </row>
    <row r="54">
      <c r="A54" s="20" t="n">
        <v>45723.49305555555</v>
      </c>
      <c r="B54" s="21" t="n">
        <v>2</v>
      </c>
      <c r="C54" s="21" t="n">
        <v>4</v>
      </c>
      <c r="D54" s="21" t="n">
        <v>2</v>
      </c>
      <c r="E54" s="21" t="n">
        <v>2</v>
      </c>
      <c r="F54" s="21" t="n">
        <v>3</v>
      </c>
      <c r="G54" s="21" t="n">
        <v>4</v>
      </c>
      <c r="H54" s="21" t="n">
        <v>5</v>
      </c>
      <c r="I54" s="21" t="n">
        <v>4</v>
      </c>
      <c r="J54" s="21" t="n">
        <v>3</v>
      </c>
      <c r="K54" s="21" t="n">
        <v>3</v>
      </c>
      <c r="L54" s="21" t="n">
        <v>3</v>
      </c>
      <c r="M54" s="21" t="n">
        <v>3</v>
      </c>
      <c r="N54" s="21" t="n">
        <v>2</v>
      </c>
      <c r="O54" s="21" t="n">
        <v>3</v>
      </c>
      <c r="P54" s="21" t="n">
        <v>2</v>
      </c>
      <c r="Q54" s="21" t="n">
        <v>2</v>
      </c>
      <c r="R54" s="21" t="n">
        <v>3</v>
      </c>
      <c r="S54" s="21" t="n">
        <v>4</v>
      </c>
      <c r="T54" s="21" t="n">
        <v>3</v>
      </c>
      <c r="U54" s="21" t="n">
        <v>2</v>
      </c>
      <c r="V54" s="21" t="n">
        <v>5</v>
      </c>
      <c r="W54" s="21" t="n">
        <v>4</v>
      </c>
      <c r="X54" s="21" t="n">
        <v>5</v>
      </c>
      <c r="Y54" s="22">
        <f>INT(A54)</f>
        <v/>
      </c>
      <c r="Z54" s="21">
        <f>IF(Y54&lt;DATE(2025,3,6),1,IF(Y54&lt;DATE(2025,3,13),2,3))</f>
        <v/>
      </c>
      <c r="AA54" s="21">
        <f>COUNTBLANK(B54:X54)</f>
        <v/>
      </c>
      <c r="AB54" s="21">
        <f>B54&amp;"|"&amp;C54&amp;"|"&amp;D54&amp;"|"&amp;E54&amp;"|"&amp;F54&amp;"|"&amp;G54&amp;"|"&amp;H54&amp;"|"&amp;I54&amp;"|"&amp;J54&amp;"|"&amp;K54&amp;"|"&amp;L54&amp;"|"&amp;M54&amp;"|"&amp;N54&amp;"|"&amp;O54&amp;"|"&amp;P54&amp;"|"&amp;Q54&amp;"|"&amp;R54&amp;"|"&amp;S54&amp;"|"&amp;T54&amp;"|"&amp;U54&amp;"|"&amp;V54&amp;"|"&amp;W54&amp;"|"&amp;X54</f>
        <v/>
      </c>
      <c r="AC54" s="21">
        <f>IF(COUNTIF($AB$2:AB54,AB54)&gt;1,1,0)</f>
        <v/>
      </c>
      <c r="AD54" s="23">
        <f>STDEV(F54:X54)</f>
        <v/>
      </c>
      <c r="AE54" s="21">
        <f>IF(OR(AA54&gt;=8,AC54=1,AD54=0),0,1)</f>
        <v/>
      </c>
      <c r="AF54" s="21">
        <f>IF(AE54=1,"",IF(AC54=1,"Trùng",IF(AA54&gt;=8,"Bỏ trống "&amp;AA54&amp;" ô","Chọn cùng một mức")))</f>
        <v/>
      </c>
      <c r="AG54" s="23">
        <f>IF($AE54=1,AVERAGE(F54:I54),"")</f>
        <v/>
      </c>
      <c r="AH54" s="23">
        <f>IF($AE54=1,AVERAGE(J54:M54),"")</f>
        <v/>
      </c>
      <c r="AI54" s="23">
        <f>IF($AE54=1,AVERAGE(N54:Q54),"")</f>
        <v/>
      </c>
      <c r="AJ54" s="23">
        <f>IF($AE54=1,AVERAGE(R54:U54),"")</f>
        <v/>
      </c>
      <c r="AK54" s="23">
        <f>IF($AE54=1,AVERAGE(V54:X54),"")</f>
        <v/>
      </c>
    </row>
    <row r="55">
      <c r="A55" s="20" t="n">
        <v>45723.51527777778</v>
      </c>
      <c r="B55" s="21" t="n">
        <v>1</v>
      </c>
      <c r="C55" s="21" t="n">
        <v>1</v>
      </c>
      <c r="D55" s="21" t="n">
        <v>2</v>
      </c>
      <c r="E55" s="21" t="n">
        <v>1</v>
      </c>
      <c r="F55" s="21" t="n">
        <v>2</v>
      </c>
      <c r="G55" s="21" t="n">
        <v>3</v>
      </c>
      <c r="H55" s="21" t="n">
        <v>2</v>
      </c>
      <c r="I55" s="21" t="n">
        <v>3</v>
      </c>
      <c r="J55" s="21" t="n">
        <v>3</v>
      </c>
      <c r="K55" s="21" t="n">
        <v>4</v>
      </c>
      <c r="L55" s="21" t="n">
        <v>4</v>
      </c>
      <c r="M55" s="21" t="n">
        <v>4</v>
      </c>
      <c r="N55" s="21" t="n">
        <v>2</v>
      </c>
      <c r="O55" s="21" t="n">
        <v>3</v>
      </c>
      <c r="P55" s="21" t="n">
        <v>3</v>
      </c>
      <c r="Q55" s="21" t="n">
        <v>4</v>
      </c>
      <c r="R55" s="21" t="n">
        <v>4</v>
      </c>
      <c r="S55" s="21" t="n">
        <v>4</v>
      </c>
      <c r="T55" s="21" t="n">
        <v>5</v>
      </c>
      <c r="U55" s="21" t="n">
        <v>4</v>
      </c>
      <c r="V55" s="21" t="n">
        <v>3</v>
      </c>
      <c r="W55" s="21" t="n">
        <v>4</v>
      </c>
      <c r="X55" s="21" t="n">
        <v>3</v>
      </c>
      <c r="Y55" s="22">
        <f>INT(A55)</f>
        <v/>
      </c>
      <c r="Z55" s="21">
        <f>IF(Y55&lt;DATE(2025,3,6),1,IF(Y55&lt;DATE(2025,3,13),2,3))</f>
        <v/>
      </c>
      <c r="AA55" s="21">
        <f>COUNTBLANK(B55:X55)</f>
        <v/>
      </c>
      <c r="AB55" s="21">
        <f>B55&amp;"|"&amp;C55&amp;"|"&amp;D55&amp;"|"&amp;E55&amp;"|"&amp;F55&amp;"|"&amp;G55&amp;"|"&amp;H55&amp;"|"&amp;I55&amp;"|"&amp;J55&amp;"|"&amp;K55&amp;"|"&amp;L55&amp;"|"&amp;M55&amp;"|"&amp;N55&amp;"|"&amp;O55&amp;"|"&amp;P55&amp;"|"&amp;Q55&amp;"|"&amp;R55&amp;"|"&amp;S55&amp;"|"&amp;T55&amp;"|"&amp;U55&amp;"|"&amp;V55&amp;"|"&amp;W55&amp;"|"&amp;X55</f>
        <v/>
      </c>
      <c r="AC55" s="21">
        <f>IF(COUNTIF($AB$2:AB55,AB55)&gt;1,1,0)</f>
        <v/>
      </c>
      <c r="AD55" s="23">
        <f>STDEV(F55:X55)</f>
        <v/>
      </c>
      <c r="AE55" s="21">
        <f>IF(OR(AA55&gt;=8,AC55=1,AD55=0),0,1)</f>
        <v/>
      </c>
      <c r="AF55" s="21">
        <f>IF(AE55=1,"",IF(AC55=1,"Trùng",IF(AA55&gt;=8,"Bỏ trống "&amp;AA55&amp;" ô","Chọn cùng một mức")))</f>
        <v/>
      </c>
      <c r="AG55" s="23">
        <f>IF($AE55=1,AVERAGE(F55:I55),"")</f>
        <v/>
      </c>
      <c r="AH55" s="23">
        <f>IF($AE55=1,AVERAGE(J55:M55),"")</f>
        <v/>
      </c>
      <c r="AI55" s="23">
        <f>IF($AE55=1,AVERAGE(N55:Q55),"")</f>
        <v/>
      </c>
      <c r="AJ55" s="23">
        <f>IF($AE55=1,AVERAGE(R55:U55),"")</f>
        <v/>
      </c>
      <c r="AK55" s="23">
        <f>IF($AE55=1,AVERAGE(V55:X55),"")</f>
        <v/>
      </c>
    </row>
    <row r="56">
      <c r="A56" s="20" t="n">
        <v>45723.60972222222</v>
      </c>
      <c r="B56" s="21" t="n">
        <v>1</v>
      </c>
      <c r="C56" s="21" t="n">
        <v>1</v>
      </c>
      <c r="D56" s="21" t="n">
        <v>2</v>
      </c>
      <c r="E56" s="21" t="n">
        <v>2</v>
      </c>
      <c r="F56" s="21" t="n">
        <v>3</v>
      </c>
      <c r="G56" s="21" t="n">
        <v>4</v>
      </c>
      <c r="H56" s="21" t="n">
        <v>3</v>
      </c>
      <c r="I56" s="21" t="n">
        <v>3</v>
      </c>
      <c r="J56" s="21" t="n">
        <v>4</v>
      </c>
      <c r="K56" s="21" t="n">
        <v>4</v>
      </c>
      <c r="L56" s="21" t="n">
        <v>4</v>
      </c>
      <c r="M56" s="21" t="n">
        <v>3</v>
      </c>
      <c r="N56" s="21" t="n">
        <v>1</v>
      </c>
      <c r="O56" s="21" t="n">
        <v>2</v>
      </c>
      <c r="P56" s="21" t="n">
        <v>1</v>
      </c>
      <c r="Q56" s="21" t="n">
        <v>1</v>
      </c>
      <c r="R56" s="21" t="n">
        <v>3</v>
      </c>
      <c r="S56" s="21" t="n">
        <v>2</v>
      </c>
      <c r="T56" s="21" t="n">
        <v>3</v>
      </c>
      <c r="U56" s="21" t="n">
        <v>3</v>
      </c>
      <c r="V56" s="21" t="n">
        <v>2</v>
      </c>
      <c r="W56" s="21" t="n">
        <v>3</v>
      </c>
      <c r="X56" s="21" t="n">
        <v>3</v>
      </c>
      <c r="Y56" s="22">
        <f>INT(A56)</f>
        <v/>
      </c>
      <c r="Z56" s="21">
        <f>IF(Y56&lt;DATE(2025,3,6),1,IF(Y56&lt;DATE(2025,3,13),2,3))</f>
        <v/>
      </c>
      <c r="AA56" s="21">
        <f>COUNTBLANK(B56:X56)</f>
        <v/>
      </c>
      <c r="AB56" s="21">
        <f>B56&amp;"|"&amp;C56&amp;"|"&amp;D56&amp;"|"&amp;E56&amp;"|"&amp;F56&amp;"|"&amp;G56&amp;"|"&amp;H56&amp;"|"&amp;I56&amp;"|"&amp;J56&amp;"|"&amp;K56&amp;"|"&amp;L56&amp;"|"&amp;M56&amp;"|"&amp;N56&amp;"|"&amp;O56&amp;"|"&amp;P56&amp;"|"&amp;Q56&amp;"|"&amp;R56&amp;"|"&amp;S56&amp;"|"&amp;T56&amp;"|"&amp;U56&amp;"|"&amp;V56&amp;"|"&amp;W56&amp;"|"&amp;X56</f>
        <v/>
      </c>
      <c r="AC56" s="21">
        <f>IF(COUNTIF($AB$2:AB56,AB56)&gt;1,1,0)</f>
        <v/>
      </c>
      <c r="AD56" s="23">
        <f>STDEV(F56:X56)</f>
        <v/>
      </c>
      <c r="AE56" s="21">
        <f>IF(OR(AA56&gt;=8,AC56=1,AD56=0),0,1)</f>
        <v/>
      </c>
      <c r="AF56" s="21">
        <f>IF(AE56=1,"",IF(AC56=1,"Trùng",IF(AA56&gt;=8,"Bỏ trống "&amp;AA56&amp;" ô","Chọn cùng một mức")))</f>
        <v/>
      </c>
      <c r="AG56" s="23">
        <f>IF($AE56=1,AVERAGE(F56:I56),"")</f>
        <v/>
      </c>
      <c r="AH56" s="23">
        <f>IF($AE56=1,AVERAGE(J56:M56),"")</f>
        <v/>
      </c>
      <c r="AI56" s="23">
        <f>IF($AE56=1,AVERAGE(N56:Q56),"")</f>
        <v/>
      </c>
      <c r="AJ56" s="23">
        <f>IF($AE56=1,AVERAGE(R56:U56),"")</f>
        <v/>
      </c>
      <c r="AK56" s="23">
        <f>IF($AE56=1,AVERAGE(V56:X56),"")</f>
        <v/>
      </c>
    </row>
    <row r="57">
      <c r="A57" s="20" t="n">
        <v>45723.64722222222</v>
      </c>
      <c r="B57" s="21" t="n">
        <v>2</v>
      </c>
      <c r="C57" s="21" t="n">
        <v>3</v>
      </c>
      <c r="D57" s="21" t="n">
        <v>1</v>
      </c>
      <c r="E57" s="21" t="n">
        <v>2</v>
      </c>
      <c r="F57" s="21" t="n">
        <v>4</v>
      </c>
      <c r="G57" s="21" t="n">
        <v>5</v>
      </c>
      <c r="H57" s="21" t="n">
        <v>4</v>
      </c>
      <c r="I57" s="21" t="n">
        <v>4</v>
      </c>
      <c r="J57" s="21" t="n">
        <v>3</v>
      </c>
      <c r="K57" s="21" t="n">
        <v>3</v>
      </c>
      <c r="L57" s="21" t="n">
        <v>3</v>
      </c>
      <c r="M57" s="21" t="n">
        <v>4</v>
      </c>
      <c r="N57" s="21" t="n">
        <v>5</v>
      </c>
      <c r="O57" s="21" t="n">
        <v>4</v>
      </c>
      <c r="P57" s="21" t="n">
        <v>4</v>
      </c>
      <c r="Q57" s="21" t="n">
        <v>4</v>
      </c>
      <c r="R57" s="21" t="n">
        <v>4</v>
      </c>
      <c r="S57" s="21" t="n">
        <v>5</v>
      </c>
      <c r="T57" s="21" t="n">
        <v>4</v>
      </c>
      <c r="U57" s="21" t="n">
        <v>5</v>
      </c>
      <c r="V57" s="21" t="n">
        <v>4</v>
      </c>
      <c r="W57" s="21" t="n">
        <v>4</v>
      </c>
      <c r="X57" s="21" t="n">
        <v>5</v>
      </c>
      <c r="Y57" s="22">
        <f>INT(A57)</f>
        <v/>
      </c>
      <c r="Z57" s="21">
        <f>IF(Y57&lt;DATE(2025,3,6),1,IF(Y57&lt;DATE(2025,3,13),2,3))</f>
        <v/>
      </c>
      <c r="AA57" s="21">
        <f>COUNTBLANK(B57:X57)</f>
        <v/>
      </c>
      <c r="AB57" s="21">
        <f>B57&amp;"|"&amp;C57&amp;"|"&amp;D57&amp;"|"&amp;E57&amp;"|"&amp;F57&amp;"|"&amp;G57&amp;"|"&amp;H57&amp;"|"&amp;I57&amp;"|"&amp;J57&amp;"|"&amp;K57&amp;"|"&amp;L57&amp;"|"&amp;M57&amp;"|"&amp;N57&amp;"|"&amp;O57&amp;"|"&amp;P57&amp;"|"&amp;Q57&amp;"|"&amp;R57&amp;"|"&amp;S57&amp;"|"&amp;T57&amp;"|"&amp;U57&amp;"|"&amp;V57&amp;"|"&amp;W57&amp;"|"&amp;X57</f>
        <v/>
      </c>
      <c r="AC57" s="21">
        <f>IF(COUNTIF($AB$2:AB57,AB57)&gt;1,1,0)</f>
        <v/>
      </c>
      <c r="AD57" s="23">
        <f>STDEV(F57:X57)</f>
        <v/>
      </c>
      <c r="AE57" s="21">
        <f>IF(OR(AA57&gt;=8,AC57=1,AD57=0),0,1)</f>
        <v/>
      </c>
      <c r="AF57" s="21">
        <f>IF(AE57=1,"",IF(AC57=1,"Trùng",IF(AA57&gt;=8,"Bỏ trống "&amp;AA57&amp;" ô","Chọn cùng một mức")))</f>
        <v/>
      </c>
      <c r="AG57" s="23">
        <f>IF($AE57=1,AVERAGE(F57:I57),"")</f>
        <v/>
      </c>
      <c r="AH57" s="23">
        <f>IF($AE57=1,AVERAGE(J57:M57),"")</f>
        <v/>
      </c>
      <c r="AI57" s="23">
        <f>IF($AE57=1,AVERAGE(N57:Q57),"")</f>
        <v/>
      </c>
      <c r="AJ57" s="23">
        <f>IF($AE57=1,AVERAGE(R57:U57),"")</f>
        <v/>
      </c>
      <c r="AK57" s="23">
        <f>IF($AE57=1,AVERAGE(V57:X57),"")</f>
        <v/>
      </c>
    </row>
    <row r="58">
      <c r="A58" s="20" t="n">
        <v>45723.67708333334</v>
      </c>
      <c r="B58" s="21" t="n">
        <v>1</v>
      </c>
      <c r="C58" s="21" t="n">
        <v>4</v>
      </c>
      <c r="D58" s="21" t="n">
        <v>2</v>
      </c>
      <c r="E58" s="21" t="n">
        <v>3</v>
      </c>
      <c r="F58" s="21" t="n">
        <v>5</v>
      </c>
      <c r="G58" s="21" t="n">
        <v>5</v>
      </c>
      <c r="H58" s="21" t="n">
        <v>5</v>
      </c>
      <c r="I58" s="21" t="n">
        <v>5</v>
      </c>
      <c r="J58" s="21" t="n">
        <v>5</v>
      </c>
      <c r="K58" s="21" t="n">
        <v>4</v>
      </c>
      <c r="L58" s="21" t="n">
        <v>4</v>
      </c>
      <c r="M58" s="21" t="n">
        <v>4</v>
      </c>
      <c r="N58" s="21" t="n">
        <v>4</v>
      </c>
      <c r="O58" s="21" t="n">
        <v>4</v>
      </c>
      <c r="P58" s="21" t="n">
        <v>3</v>
      </c>
      <c r="Q58" s="21" t="n">
        <v>4</v>
      </c>
      <c r="R58" s="21" t="n">
        <v>3</v>
      </c>
      <c r="S58" s="21" t="n">
        <v>3</v>
      </c>
      <c r="T58" s="21" t="n">
        <v>3</v>
      </c>
      <c r="U58" s="21" t="n">
        <v>3</v>
      </c>
      <c r="V58" s="21" t="n">
        <v>5</v>
      </c>
      <c r="W58" s="21" t="n">
        <v>4</v>
      </c>
      <c r="X58" s="21" t="n">
        <v>5</v>
      </c>
      <c r="Y58" s="22">
        <f>INT(A58)</f>
        <v/>
      </c>
      <c r="Z58" s="21">
        <f>IF(Y58&lt;DATE(2025,3,6),1,IF(Y58&lt;DATE(2025,3,13),2,3))</f>
        <v/>
      </c>
      <c r="AA58" s="21">
        <f>COUNTBLANK(B58:X58)</f>
        <v/>
      </c>
      <c r="AB58" s="21">
        <f>B58&amp;"|"&amp;C58&amp;"|"&amp;D58&amp;"|"&amp;E58&amp;"|"&amp;F58&amp;"|"&amp;G58&amp;"|"&amp;H58&amp;"|"&amp;I58&amp;"|"&amp;J58&amp;"|"&amp;K58&amp;"|"&amp;L58&amp;"|"&amp;M58&amp;"|"&amp;N58&amp;"|"&amp;O58&amp;"|"&amp;P58&amp;"|"&amp;Q58&amp;"|"&amp;R58&amp;"|"&amp;S58&amp;"|"&amp;T58&amp;"|"&amp;U58&amp;"|"&amp;V58&amp;"|"&amp;W58&amp;"|"&amp;X58</f>
        <v/>
      </c>
      <c r="AC58" s="21">
        <f>IF(COUNTIF($AB$2:AB58,AB58)&gt;1,1,0)</f>
        <v/>
      </c>
      <c r="AD58" s="23">
        <f>STDEV(F58:X58)</f>
        <v/>
      </c>
      <c r="AE58" s="21">
        <f>IF(OR(AA58&gt;=8,AC58=1,AD58=0),0,1)</f>
        <v/>
      </c>
      <c r="AF58" s="21">
        <f>IF(AE58=1,"",IF(AC58=1,"Trùng",IF(AA58&gt;=8,"Bỏ trống "&amp;AA58&amp;" ô","Chọn cùng một mức")))</f>
        <v/>
      </c>
      <c r="AG58" s="23">
        <f>IF($AE58=1,AVERAGE(F58:I58),"")</f>
        <v/>
      </c>
      <c r="AH58" s="23">
        <f>IF($AE58=1,AVERAGE(J58:M58),"")</f>
        <v/>
      </c>
      <c r="AI58" s="23">
        <f>IF($AE58=1,AVERAGE(N58:Q58),"")</f>
        <v/>
      </c>
      <c r="AJ58" s="23">
        <f>IF($AE58=1,AVERAGE(R58:U58),"")</f>
        <v/>
      </c>
      <c r="AK58" s="23">
        <f>IF($AE58=1,AVERAGE(V58:X58),"")</f>
        <v/>
      </c>
    </row>
    <row r="59">
      <c r="A59" s="20" t="n">
        <v>45723.72152777778</v>
      </c>
      <c r="B59" s="21" t="n">
        <v>1</v>
      </c>
      <c r="C59" s="21" t="n">
        <v>2</v>
      </c>
      <c r="D59" s="21" t="n">
        <v>1</v>
      </c>
      <c r="E59" s="21" t="n">
        <v>2</v>
      </c>
      <c r="F59" s="21" t="n">
        <v>3</v>
      </c>
      <c r="G59" s="21" t="n">
        <v>4</v>
      </c>
      <c r="H59" s="21" t="n">
        <v>4</v>
      </c>
      <c r="I59" s="21" t="n">
        <v>4</v>
      </c>
      <c r="J59" s="21" t="n">
        <v>4</v>
      </c>
      <c r="K59" s="21" t="n">
        <v>3</v>
      </c>
      <c r="L59" s="21" t="n">
        <v>3</v>
      </c>
      <c r="M59" s="21" t="n">
        <v>2</v>
      </c>
      <c r="N59" s="21" t="n">
        <v>3</v>
      </c>
      <c r="O59" s="21" t="n">
        <v>2</v>
      </c>
      <c r="P59" s="21" t="n">
        <v>3</v>
      </c>
      <c r="Q59" s="21" t="n">
        <v>2</v>
      </c>
      <c r="R59" s="21" t="n">
        <v>3</v>
      </c>
      <c r="S59" s="21" t="n">
        <v>4</v>
      </c>
      <c r="T59" s="21" t="n">
        <v>4</v>
      </c>
      <c r="U59" s="21" t="n">
        <v>3</v>
      </c>
      <c r="V59" s="21" t="n">
        <v>3</v>
      </c>
      <c r="W59" s="21" t="n">
        <v>3</v>
      </c>
      <c r="X59" s="21" t="n">
        <v>4</v>
      </c>
      <c r="Y59" s="22">
        <f>INT(A59)</f>
        <v/>
      </c>
      <c r="Z59" s="21">
        <f>IF(Y59&lt;DATE(2025,3,6),1,IF(Y59&lt;DATE(2025,3,13),2,3))</f>
        <v/>
      </c>
      <c r="AA59" s="21">
        <f>COUNTBLANK(B59:X59)</f>
        <v/>
      </c>
      <c r="AB59" s="21">
        <f>B59&amp;"|"&amp;C59&amp;"|"&amp;D59&amp;"|"&amp;E59&amp;"|"&amp;F59&amp;"|"&amp;G59&amp;"|"&amp;H59&amp;"|"&amp;I59&amp;"|"&amp;J59&amp;"|"&amp;K59&amp;"|"&amp;L59&amp;"|"&amp;M59&amp;"|"&amp;N59&amp;"|"&amp;O59&amp;"|"&amp;P59&amp;"|"&amp;Q59&amp;"|"&amp;R59&amp;"|"&amp;S59&amp;"|"&amp;T59&amp;"|"&amp;U59&amp;"|"&amp;V59&amp;"|"&amp;W59&amp;"|"&amp;X59</f>
        <v/>
      </c>
      <c r="AC59" s="21">
        <f>IF(COUNTIF($AB$2:AB59,AB59)&gt;1,1,0)</f>
        <v/>
      </c>
      <c r="AD59" s="23">
        <f>STDEV(F59:X59)</f>
        <v/>
      </c>
      <c r="AE59" s="21">
        <f>IF(OR(AA59&gt;=8,AC59=1,AD59=0),0,1)</f>
        <v/>
      </c>
      <c r="AF59" s="21">
        <f>IF(AE59=1,"",IF(AC59=1,"Trùng",IF(AA59&gt;=8,"Bỏ trống "&amp;AA59&amp;" ô","Chọn cùng một mức")))</f>
        <v/>
      </c>
      <c r="AG59" s="23">
        <f>IF($AE59=1,AVERAGE(F59:I59),"")</f>
        <v/>
      </c>
      <c r="AH59" s="23">
        <f>IF($AE59=1,AVERAGE(J59:M59),"")</f>
        <v/>
      </c>
      <c r="AI59" s="23">
        <f>IF($AE59=1,AVERAGE(N59:Q59),"")</f>
        <v/>
      </c>
      <c r="AJ59" s="23">
        <f>IF($AE59=1,AVERAGE(R59:U59),"")</f>
        <v/>
      </c>
      <c r="AK59" s="23">
        <f>IF($AE59=1,AVERAGE(V59:X59),"")</f>
        <v/>
      </c>
    </row>
    <row r="60">
      <c r="A60" s="20" t="n">
        <v>45724.06666666667</v>
      </c>
      <c r="B60" s="21" t="n">
        <v>1</v>
      </c>
      <c r="C60" s="21" t="n">
        <v>2</v>
      </c>
      <c r="D60" s="21" t="n">
        <v>2</v>
      </c>
      <c r="E60" s="21" t="n">
        <v>3</v>
      </c>
      <c r="F60" s="21" t="n">
        <v>5</v>
      </c>
      <c r="G60" s="21" t="n">
        <v>5</v>
      </c>
      <c r="H60" s="21" t="n">
        <v>5</v>
      </c>
      <c r="I60" s="21" t="n">
        <v>5</v>
      </c>
      <c r="J60" s="21" t="n">
        <v>4</v>
      </c>
      <c r="K60" s="21" t="n">
        <v>3</v>
      </c>
      <c r="L60" s="21" t="n">
        <v>4</v>
      </c>
      <c r="M60" s="21" t="n">
        <v>2</v>
      </c>
      <c r="N60" s="21" t="n">
        <v>4</v>
      </c>
      <c r="O60" s="21" t="n">
        <v>4</v>
      </c>
      <c r="P60" s="21" t="n">
        <v>3</v>
      </c>
      <c r="Q60" s="21" t="n">
        <v>3</v>
      </c>
      <c r="R60" s="21" t="n">
        <v>4</v>
      </c>
      <c r="S60" s="21" t="n">
        <v>4</v>
      </c>
      <c r="T60" s="21" t="n">
        <v>4</v>
      </c>
      <c r="U60" s="21" t="n">
        <v>4</v>
      </c>
      <c r="V60" s="21" t="n">
        <v>5</v>
      </c>
      <c r="W60" s="21" t="n">
        <v>5</v>
      </c>
      <c r="X60" s="21" t="n">
        <v>5</v>
      </c>
      <c r="Y60" s="22">
        <f>INT(A60)</f>
        <v/>
      </c>
      <c r="Z60" s="21">
        <f>IF(Y60&lt;DATE(2025,3,6),1,IF(Y60&lt;DATE(2025,3,13),2,3))</f>
        <v/>
      </c>
      <c r="AA60" s="21">
        <f>COUNTBLANK(B60:X60)</f>
        <v/>
      </c>
      <c r="AB60" s="21">
        <f>B60&amp;"|"&amp;C60&amp;"|"&amp;D60&amp;"|"&amp;E60&amp;"|"&amp;F60&amp;"|"&amp;G60&amp;"|"&amp;H60&amp;"|"&amp;I60&amp;"|"&amp;J60&amp;"|"&amp;K60&amp;"|"&amp;L60&amp;"|"&amp;M60&amp;"|"&amp;N60&amp;"|"&amp;O60&amp;"|"&amp;P60&amp;"|"&amp;Q60&amp;"|"&amp;R60&amp;"|"&amp;S60&amp;"|"&amp;T60&amp;"|"&amp;U60&amp;"|"&amp;V60&amp;"|"&amp;W60&amp;"|"&amp;X60</f>
        <v/>
      </c>
      <c r="AC60" s="21">
        <f>IF(COUNTIF($AB$2:AB60,AB60)&gt;1,1,0)</f>
        <v/>
      </c>
      <c r="AD60" s="23">
        <f>STDEV(F60:X60)</f>
        <v/>
      </c>
      <c r="AE60" s="21">
        <f>IF(OR(AA60&gt;=8,AC60=1,AD60=0),0,1)</f>
        <v/>
      </c>
      <c r="AF60" s="21">
        <f>IF(AE60=1,"",IF(AC60=1,"Trùng",IF(AA60&gt;=8,"Bỏ trống "&amp;AA60&amp;" ô","Chọn cùng một mức")))</f>
        <v/>
      </c>
      <c r="AG60" s="23">
        <f>IF($AE60=1,AVERAGE(F60:I60),"")</f>
        <v/>
      </c>
      <c r="AH60" s="23">
        <f>IF($AE60=1,AVERAGE(J60:M60),"")</f>
        <v/>
      </c>
      <c r="AI60" s="23">
        <f>IF($AE60=1,AVERAGE(N60:Q60),"")</f>
        <v/>
      </c>
      <c r="AJ60" s="23">
        <f>IF($AE60=1,AVERAGE(R60:U60),"")</f>
        <v/>
      </c>
      <c r="AK60" s="23">
        <f>IF($AE60=1,AVERAGE(V60:X60),"")</f>
        <v/>
      </c>
    </row>
    <row r="61">
      <c r="A61" s="20" t="n">
        <v>45724.09166666667</v>
      </c>
      <c r="B61" s="21" t="n">
        <v>1</v>
      </c>
      <c r="C61" s="21" t="n">
        <v>3</v>
      </c>
      <c r="D61" s="21" t="n">
        <v>2</v>
      </c>
      <c r="E61" s="21" t="n">
        <v>2</v>
      </c>
      <c r="F61" s="21" t="n">
        <v>4</v>
      </c>
      <c r="G61" s="21" t="n">
        <v>4</v>
      </c>
      <c r="H61" s="21" t="n">
        <v>5</v>
      </c>
      <c r="I61" s="21" t="n">
        <v>5</v>
      </c>
      <c r="J61" s="21" t="n">
        <v>5</v>
      </c>
      <c r="K61" s="21" t="n">
        <v>4</v>
      </c>
      <c r="L61" s="21" t="n">
        <v>3</v>
      </c>
      <c r="M61" s="21" t="n">
        <v>3</v>
      </c>
      <c r="N61" s="21" t="n">
        <v>2</v>
      </c>
      <c r="O61" s="21" t="n">
        <v>3</v>
      </c>
      <c r="P61" s="21" t="n">
        <v>3</v>
      </c>
      <c r="Q61" s="21" t="n">
        <v>3</v>
      </c>
      <c r="R61" s="21" t="n">
        <v>3</v>
      </c>
      <c r="S61" s="21" t="n">
        <v>4</v>
      </c>
      <c r="T61" s="21" t="n">
        <v>3</v>
      </c>
      <c r="U61" s="21" t="n">
        <v>3</v>
      </c>
      <c r="V61" s="21" t="n">
        <v>3</v>
      </c>
      <c r="W61" s="21" t="n">
        <v>4</v>
      </c>
      <c r="X61" s="21" t="n">
        <v>3</v>
      </c>
      <c r="Y61" s="22">
        <f>INT(A61)</f>
        <v/>
      </c>
      <c r="Z61" s="21">
        <f>IF(Y61&lt;DATE(2025,3,6),1,IF(Y61&lt;DATE(2025,3,13),2,3))</f>
        <v/>
      </c>
      <c r="AA61" s="21">
        <f>COUNTBLANK(B61:X61)</f>
        <v/>
      </c>
      <c r="AB61" s="21">
        <f>B61&amp;"|"&amp;C61&amp;"|"&amp;D61&amp;"|"&amp;E61&amp;"|"&amp;F61&amp;"|"&amp;G61&amp;"|"&amp;H61&amp;"|"&amp;I61&amp;"|"&amp;J61&amp;"|"&amp;K61&amp;"|"&amp;L61&amp;"|"&amp;M61&amp;"|"&amp;N61&amp;"|"&amp;O61&amp;"|"&amp;P61&amp;"|"&amp;Q61&amp;"|"&amp;R61&amp;"|"&amp;S61&amp;"|"&amp;T61&amp;"|"&amp;U61&amp;"|"&amp;V61&amp;"|"&amp;W61&amp;"|"&amp;X61</f>
        <v/>
      </c>
      <c r="AC61" s="21">
        <f>IF(COUNTIF($AB$2:AB61,AB61)&gt;1,1,0)</f>
        <v/>
      </c>
      <c r="AD61" s="23">
        <f>STDEV(F61:X61)</f>
        <v/>
      </c>
      <c r="AE61" s="21">
        <f>IF(OR(AA61&gt;=8,AC61=1,AD61=0),0,1)</f>
        <v/>
      </c>
      <c r="AF61" s="21">
        <f>IF(AE61=1,"",IF(AC61=1,"Trùng",IF(AA61&gt;=8,"Bỏ trống "&amp;AA61&amp;" ô","Chọn cùng một mức")))</f>
        <v/>
      </c>
      <c r="AG61" s="23">
        <f>IF($AE61=1,AVERAGE(F61:I61),"")</f>
        <v/>
      </c>
      <c r="AH61" s="23">
        <f>IF($AE61=1,AVERAGE(J61:M61),"")</f>
        <v/>
      </c>
      <c r="AI61" s="23">
        <f>IF($AE61=1,AVERAGE(N61:Q61),"")</f>
        <v/>
      </c>
      <c r="AJ61" s="23">
        <f>IF($AE61=1,AVERAGE(R61:U61),"")</f>
        <v/>
      </c>
      <c r="AK61" s="23">
        <f>IF($AE61=1,AVERAGE(V61:X61),"")</f>
        <v/>
      </c>
    </row>
    <row r="62">
      <c r="A62" s="20" t="n">
        <v>45724.3625</v>
      </c>
      <c r="B62" s="21" t="n">
        <v>2</v>
      </c>
      <c r="C62" s="21" t="n">
        <v>1</v>
      </c>
      <c r="D62" s="21" t="n">
        <v>1</v>
      </c>
      <c r="E62" s="21" t="n">
        <v>2</v>
      </c>
      <c r="F62" s="21" t="n">
        <v>4</v>
      </c>
      <c r="G62" s="21" t="n">
        <v>4</v>
      </c>
      <c r="H62" s="21" t="n">
        <v>4</v>
      </c>
      <c r="I62" s="21" t="n">
        <v>5</v>
      </c>
      <c r="J62" s="21" t="n">
        <v>4</v>
      </c>
      <c r="K62" s="21" t="n">
        <v>4</v>
      </c>
      <c r="L62" s="21" t="n">
        <v>3</v>
      </c>
      <c r="M62" s="21" t="n">
        <v>5</v>
      </c>
      <c r="N62" s="21" t="n">
        <v>5</v>
      </c>
      <c r="O62" s="21" t="n">
        <v>4</v>
      </c>
      <c r="P62" s="21" t="n">
        <v>2</v>
      </c>
      <c r="Q62" s="21" t="n">
        <v>4</v>
      </c>
      <c r="R62" s="21" t="n">
        <v>2</v>
      </c>
      <c r="S62" s="21" t="n">
        <v>3</v>
      </c>
      <c r="T62" s="21" t="n">
        <v>2</v>
      </c>
      <c r="U62" s="21" t="n">
        <v>3</v>
      </c>
      <c r="V62" s="21" t="n">
        <v>4</v>
      </c>
      <c r="W62" s="21" t="n">
        <v>3</v>
      </c>
      <c r="X62" s="21" t="n">
        <v>3</v>
      </c>
      <c r="Y62" s="22">
        <f>INT(A62)</f>
        <v/>
      </c>
      <c r="Z62" s="21">
        <f>IF(Y62&lt;DATE(2025,3,6),1,IF(Y62&lt;DATE(2025,3,13),2,3))</f>
        <v/>
      </c>
      <c r="AA62" s="21">
        <f>COUNTBLANK(B62:X62)</f>
        <v/>
      </c>
      <c r="AB62" s="21">
        <f>B62&amp;"|"&amp;C62&amp;"|"&amp;D62&amp;"|"&amp;E62&amp;"|"&amp;F62&amp;"|"&amp;G62&amp;"|"&amp;H62&amp;"|"&amp;I62&amp;"|"&amp;J62&amp;"|"&amp;K62&amp;"|"&amp;L62&amp;"|"&amp;M62&amp;"|"&amp;N62&amp;"|"&amp;O62&amp;"|"&amp;P62&amp;"|"&amp;Q62&amp;"|"&amp;R62&amp;"|"&amp;S62&amp;"|"&amp;T62&amp;"|"&amp;U62&amp;"|"&amp;V62&amp;"|"&amp;W62&amp;"|"&amp;X62</f>
        <v/>
      </c>
      <c r="AC62" s="21">
        <f>IF(COUNTIF($AB$2:AB62,AB62)&gt;1,1,0)</f>
        <v/>
      </c>
      <c r="AD62" s="23">
        <f>STDEV(F62:X62)</f>
        <v/>
      </c>
      <c r="AE62" s="21">
        <f>IF(OR(AA62&gt;=8,AC62=1,AD62=0),0,1)</f>
        <v/>
      </c>
      <c r="AF62" s="21">
        <f>IF(AE62=1,"",IF(AC62=1,"Trùng",IF(AA62&gt;=8,"Bỏ trống "&amp;AA62&amp;" ô","Chọn cùng một mức")))</f>
        <v/>
      </c>
      <c r="AG62" s="23">
        <f>IF($AE62=1,AVERAGE(F62:I62),"")</f>
        <v/>
      </c>
      <c r="AH62" s="23">
        <f>IF($AE62=1,AVERAGE(J62:M62),"")</f>
        <v/>
      </c>
      <c r="AI62" s="23">
        <f>IF($AE62=1,AVERAGE(N62:Q62),"")</f>
        <v/>
      </c>
      <c r="AJ62" s="23">
        <f>IF($AE62=1,AVERAGE(R62:U62),"")</f>
        <v/>
      </c>
      <c r="AK62" s="23">
        <f>IF($AE62=1,AVERAGE(V62:X62),"")</f>
        <v/>
      </c>
    </row>
    <row r="63">
      <c r="A63" s="20" t="n">
        <v>45724.44861111111</v>
      </c>
      <c r="B63" s="21" t="n">
        <v>1</v>
      </c>
      <c r="C63" s="21" t="n">
        <v>4</v>
      </c>
      <c r="D63" s="21" t="n">
        <v>1</v>
      </c>
      <c r="E63" s="21" t="n">
        <v>3</v>
      </c>
      <c r="F63" s="21" t="n">
        <v>4</v>
      </c>
      <c r="G63" s="21" t="n">
        <v>4</v>
      </c>
      <c r="H63" s="21" t="n">
        <v>4</v>
      </c>
      <c r="I63" s="21" t="n">
        <v>5</v>
      </c>
      <c r="J63" s="21" t="n">
        <v>5</v>
      </c>
      <c r="K63" s="21" t="n">
        <v>5</v>
      </c>
      <c r="L63" s="21" t="n">
        <v>5</v>
      </c>
      <c r="M63" s="21" t="n">
        <v>5</v>
      </c>
      <c r="N63" s="21" t="n">
        <v>4</v>
      </c>
      <c r="O63" s="21" t="n">
        <v>4</v>
      </c>
      <c r="P63" s="21" t="n">
        <v>5</v>
      </c>
      <c r="Q63" s="21" t="n">
        <v>5</v>
      </c>
      <c r="R63" s="21" t="n">
        <v>3</v>
      </c>
      <c r="S63" s="21" t="n">
        <v>3</v>
      </c>
      <c r="T63" s="21" t="n">
        <v>4</v>
      </c>
      <c r="U63" s="21" t="n">
        <v>4</v>
      </c>
      <c r="V63" s="21" t="n">
        <v>5</v>
      </c>
      <c r="W63" s="21" t="n">
        <v>5</v>
      </c>
      <c r="X63" s="21" t="n">
        <v>5</v>
      </c>
      <c r="Y63" s="22">
        <f>INT(A63)</f>
        <v/>
      </c>
      <c r="Z63" s="21">
        <f>IF(Y63&lt;DATE(2025,3,6),1,IF(Y63&lt;DATE(2025,3,13),2,3))</f>
        <v/>
      </c>
      <c r="AA63" s="21">
        <f>COUNTBLANK(B63:X63)</f>
        <v/>
      </c>
      <c r="AB63" s="21">
        <f>B63&amp;"|"&amp;C63&amp;"|"&amp;D63&amp;"|"&amp;E63&amp;"|"&amp;F63&amp;"|"&amp;G63&amp;"|"&amp;H63&amp;"|"&amp;I63&amp;"|"&amp;J63&amp;"|"&amp;K63&amp;"|"&amp;L63&amp;"|"&amp;M63&amp;"|"&amp;N63&amp;"|"&amp;O63&amp;"|"&amp;P63&amp;"|"&amp;Q63&amp;"|"&amp;R63&amp;"|"&amp;S63&amp;"|"&amp;T63&amp;"|"&amp;U63&amp;"|"&amp;V63&amp;"|"&amp;W63&amp;"|"&amp;X63</f>
        <v/>
      </c>
      <c r="AC63" s="21">
        <f>IF(COUNTIF($AB$2:AB63,AB63)&gt;1,1,0)</f>
        <v/>
      </c>
      <c r="AD63" s="23">
        <f>STDEV(F63:X63)</f>
        <v/>
      </c>
      <c r="AE63" s="21">
        <f>IF(OR(AA63&gt;=8,AC63=1,AD63=0),0,1)</f>
        <v/>
      </c>
      <c r="AF63" s="21">
        <f>IF(AE63=1,"",IF(AC63=1,"Trùng",IF(AA63&gt;=8,"Bỏ trống "&amp;AA63&amp;" ô","Chọn cùng một mức")))</f>
        <v/>
      </c>
      <c r="AG63" s="23">
        <f>IF($AE63=1,AVERAGE(F63:I63),"")</f>
        <v/>
      </c>
      <c r="AH63" s="23">
        <f>IF($AE63=1,AVERAGE(J63:M63),"")</f>
        <v/>
      </c>
      <c r="AI63" s="23">
        <f>IF($AE63=1,AVERAGE(N63:Q63),"")</f>
        <v/>
      </c>
      <c r="AJ63" s="23">
        <f>IF($AE63=1,AVERAGE(R63:U63),"")</f>
        <v/>
      </c>
      <c r="AK63" s="23">
        <f>IF($AE63=1,AVERAGE(V63:X63),"")</f>
        <v/>
      </c>
    </row>
    <row r="64">
      <c r="A64" s="20" t="n">
        <v>45724.50138888889</v>
      </c>
      <c r="B64" s="21" t="n">
        <v>1</v>
      </c>
      <c r="C64" s="21" t="n">
        <v>1</v>
      </c>
      <c r="D64" s="21" t="n">
        <v>1</v>
      </c>
      <c r="E64" s="21" t="n">
        <v>2</v>
      </c>
      <c r="F64" s="21" t="n">
        <v>3</v>
      </c>
      <c r="G64" s="21" t="n">
        <v>4</v>
      </c>
      <c r="H64" s="21" t="n">
        <v>3</v>
      </c>
      <c r="I64" s="21" t="n">
        <v>4</v>
      </c>
      <c r="J64" s="21" t="n">
        <v>3</v>
      </c>
      <c r="K64" s="21" t="n">
        <v>4</v>
      </c>
      <c r="L64" s="21" t="n">
        <v>3</v>
      </c>
      <c r="M64" s="21" t="n">
        <v>3</v>
      </c>
      <c r="N64" s="21" t="n">
        <v>3</v>
      </c>
      <c r="O64" s="21" t="n">
        <v>4</v>
      </c>
      <c r="P64" s="21" t="n">
        <v>3</v>
      </c>
      <c r="Q64" s="21" t="n">
        <v>3</v>
      </c>
      <c r="R64" s="21" t="n">
        <v>3</v>
      </c>
      <c r="S64" s="21" t="n">
        <v>3</v>
      </c>
      <c r="T64" s="21" t="n">
        <v>3</v>
      </c>
      <c r="U64" s="21" t="n">
        <v>4</v>
      </c>
      <c r="V64" s="21" t="n">
        <v>3</v>
      </c>
      <c r="W64" s="21" t="n">
        <v>4</v>
      </c>
      <c r="X64" s="21" t="n">
        <v>3</v>
      </c>
      <c r="Y64" s="22">
        <f>INT(A64)</f>
        <v/>
      </c>
      <c r="Z64" s="21">
        <f>IF(Y64&lt;DATE(2025,3,6),1,IF(Y64&lt;DATE(2025,3,13),2,3))</f>
        <v/>
      </c>
      <c r="AA64" s="21">
        <f>COUNTBLANK(B64:X64)</f>
        <v/>
      </c>
      <c r="AB64" s="21">
        <f>B64&amp;"|"&amp;C64&amp;"|"&amp;D64&amp;"|"&amp;E64&amp;"|"&amp;F64&amp;"|"&amp;G64&amp;"|"&amp;H64&amp;"|"&amp;I64&amp;"|"&amp;J64&amp;"|"&amp;K64&amp;"|"&amp;L64&amp;"|"&amp;M64&amp;"|"&amp;N64&amp;"|"&amp;O64&amp;"|"&amp;P64&amp;"|"&amp;Q64&amp;"|"&amp;R64&amp;"|"&amp;S64&amp;"|"&amp;T64&amp;"|"&amp;U64&amp;"|"&amp;V64&amp;"|"&amp;W64&amp;"|"&amp;X64</f>
        <v/>
      </c>
      <c r="AC64" s="21">
        <f>IF(COUNTIF($AB$2:AB64,AB64)&gt;1,1,0)</f>
        <v/>
      </c>
      <c r="AD64" s="23">
        <f>STDEV(F64:X64)</f>
        <v/>
      </c>
      <c r="AE64" s="21">
        <f>IF(OR(AA64&gt;=8,AC64=1,AD64=0),0,1)</f>
        <v/>
      </c>
      <c r="AF64" s="21">
        <f>IF(AE64=1,"",IF(AC64=1,"Trùng",IF(AA64&gt;=8,"Bỏ trống "&amp;AA64&amp;" ô","Chọn cùng một mức")))</f>
        <v/>
      </c>
      <c r="AG64" s="23">
        <f>IF($AE64=1,AVERAGE(F64:I64),"")</f>
        <v/>
      </c>
      <c r="AH64" s="23">
        <f>IF($AE64=1,AVERAGE(J64:M64),"")</f>
        <v/>
      </c>
      <c r="AI64" s="23">
        <f>IF($AE64=1,AVERAGE(N64:Q64),"")</f>
        <v/>
      </c>
      <c r="AJ64" s="23">
        <f>IF($AE64=1,AVERAGE(R64:U64),"")</f>
        <v/>
      </c>
      <c r="AK64" s="23">
        <f>IF($AE64=1,AVERAGE(V64:X64),"")</f>
        <v/>
      </c>
    </row>
    <row r="65">
      <c r="A65" s="20" t="n">
        <v>45724.50347222222</v>
      </c>
      <c r="B65" s="21" t="n">
        <v>1</v>
      </c>
      <c r="C65" s="21" t="n">
        <v>1</v>
      </c>
      <c r="D65" s="21" t="n">
        <v>1</v>
      </c>
      <c r="E65" s="21" t="n">
        <v>2</v>
      </c>
      <c r="F65" s="21" t="n">
        <v>3</v>
      </c>
      <c r="G65" s="21" t="n">
        <v>4</v>
      </c>
      <c r="H65" s="21" t="n">
        <v>3</v>
      </c>
      <c r="I65" s="21" t="n">
        <v>4</v>
      </c>
      <c r="J65" s="21" t="n">
        <v>3</v>
      </c>
      <c r="K65" s="21" t="n">
        <v>4</v>
      </c>
      <c r="L65" s="21" t="n">
        <v>3</v>
      </c>
      <c r="M65" s="21" t="n">
        <v>3</v>
      </c>
      <c r="N65" s="21" t="n">
        <v>3</v>
      </c>
      <c r="O65" s="21" t="n">
        <v>4</v>
      </c>
      <c r="P65" s="21" t="n">
        <v>3</v>
      </c>
      <c r="Q65" s="21" t="n">
        <v>3</v>
      </c>
      <c r="R65" s="21" t="n">
        <v>3</v>
      </c>
      <c r="S65" s="21" t="n">
        <v>3</v>
      </c>
      <c r="T65" s="21" t="n">
        <v>3</v>
      </c>
      <c r="U65" s="21" t="n">
        <v>4</v>
      </c>
      <c r="V65" s="21" t="n">
        <v>3</v>
      </c>
      <c r="W65" s="21" t="n">
        <v>4</v>
      </c>
      <c r="X65" s="21" t="n">
        <v>3</v>
      </c>
      <c r="Y65" s="22">
        <f>INT(A65)</f>
        <v/>
      </c>
      <c r="Z65" s="21">
        <f>IF(Y65&lt;DATE(2025,3,6),1,IF(Y65&lt;DATE(2025,3,13),2,3))</f>
        <v/>
      </c>
      <c r="AA65" s="21">
        <f>COUNTBLANK(B65:X65)</f>
        <v/>
      </c>
      <c r="AB65" s="21">
        <f>B65&amp;"|"&amp;C65&amp;"|"&amp;D65&amp;"|"&amp;E65&amp;"|"&amp;F65&amp;"|"&amp;G65&amp;"|"&amp;H65&amp;"|"&amp;I65&amp;"|"&amp;J65&amp;"|"&amp;K65&amp;"|"&amp;L65&amp;"|"&amp;M65&amp;"|"&amp;N65&amp;"|"&amp;O65&amp;"|"&amp;P65&amp;"|"&amp;Q65&amp;"|"&amp;R65&amp;"|"&amp;S65&amp;"|"&amp;T65&amp;"|"&amp;U65&amp;"|"&amp;V65&amp;"|"&amp;W65&amp;"|"&amp;X65</f>
        <v/>
      </c>
      <c r="AC65" s="21">
        <f>IF(COUNTIF($AB$2:AB65,AB65)&gt;1,1,0)</f>
        <v/>
      </c>
      <c r="AD65" s="23">
        <f>STDEV(F65:X65)</f>
        <v/>
      </c>
      <c r="AE65" s="21">
        <f>IF(OR(AA65&gt;=8,AC65=1,AD65=0),0,1)</f>
        <v/>
      </c>
      <c r="AF65" s="21">
        <f>IF(AE65=1,"",IF(AC65=1,"Trùng",IF(AA65&gt;=8,"Bỏ trống "&amp;AA65&amp;" ô","Chọn cùng một mức")))</f>
        <v/>
      </c>
      <c r="AG65" s="23">
        <f>IF($AE65=1,AVERAGE(F65:I65),"")</f>
        <v/>
      </c>
      <c r="AH65" s="23">
        <f>IF($AE65=1,AVERAGE(J65:M65),"")</f>
        <v/>
      </c>
      <c r="AI65" s="23">
        <f>IF($AE65=1,AVERAGE(N65:Q65),"")</f>
        <v/>
      </c>
      <c r="AJ65" s="23">
        <f>IF($AE65=1,AVERAGE(R65:U65),"")</f>
        <v/>
      </c>
      <c r="AK65" s="23">
        <f>IF($AE65=1,AVERAGE(V65:X65),"")</f>
        <v/>
      </c>
    </row>
    <row r="66">
      <c r="A66" s="20" t="n">
        <v>45724.55</v>
      </c>
      <c r="B66" s="21" t="n">
        <v>1</v>
      </c>
      <c r="C66" s="21" t="n">
        <v>1</v>
      </c>
      <c r="D66" s="21" t="n">
        <v>1</v>
      </c>
      <c r="E66" s="21" t="n">
        <v>3</v>
      </c>
      <c r="F66" s="21" t="n">
        <v>3</v>
      </c>
      <c r="G66" s="21" t="n">
        <v>3</v>
      </c>
      <c r="H66" s="21" t="n">
        <v>3</v>
      </c>
      <c r="I66" s="21" t="n">
        <v>2</v>
      </c>
      <c r="J66" s="21" t="n">
        <v>3</v>
      </c>
      <c r="K66" s="21" t="n">
        <v>1</v>
      </c>
      <c r="L66" s="21" t="n">
        <v>2</v>
      </c>
      <c r="M66" s="21" t="n">
        <v>2</v>
      </c>
      <c r="N66" s="21" t="n">
        <v>2</v>
      </c>
      <c r="O66" s="21" t="n">
        <v>3</v>
      </c>
      <c r="P66" s="21" t="n">
        <v>3</v>
      </c>
      <c r="Q66" s="21" t="n">
        <v>3</v>
      </c>
      <c r="R66" s="21" t="n">
        <v>1</v>
      </c>
      <c r="S66" s="21" t="n">
        <v>1</v>
      </c>
      <c r="T66" s="21" t="n">
        <v>1</v>
      </c>
      <c r="U66" s="21" t="n">
        <v>1</v>
      </c>
      <c r="V66" s="21" t="n">
        <v>3</v>
      </c>
      <c r="W66" s="21" t="n">
        <v>3</v>
      </c>
      <c r="X66" s="21" t="n">
        <v>3</v>
      </c>
      <c r="Y66" s="22">
        <f>INT(A66)</f>
        <v/>
      </c>
      <c r="Z66" s="21">
        <f>IF(Y66&lt;DATE(2025,3,6),1,IF(Y66&lt;DATE(2025,3,13),2,3))</f>
        <v/>
      </c>
      <c r="AA66" s="21">
        <f>COUNTBLANK(B66:X66)</f>
        <v/>
      </c>
      <c r="AB66" s="21">
        <f>B66&amp;"|"&amp;C66&amp;"|"&amp;D66&amp;"|"&amp;E66&amp;"|"&amp;F66&amp;"|"&amp;G66&amp;"|"&amp;H66&amp;"|"&amp;I66&amp;"|"&amp;J66&amp;"|"&amp;K66&amp;"|"&amp;L66&amp;"|"&amp;M66&amp;"|"&amp;N66&amp;"|"&amp;O66&amp;"|"&amp;P66&amp;"|"&amp;Q66&amp;"|"&amp;R66&amp;"|"&amp;S66&amp;"|"&amp;T66&amp;"|"&amp;U66&amp;"|"&amp;V66&amp;"|"&amp;W66&amp;"|"&amp;X66</f>
        <v/>
      </c>
      <c r="AC66" s="21">
        <f>IF(COUNTIF($AB$2:AB66,AB66)&gt;1,1,0)</f>
        <v/>
      </c>
      <c r="AD66" s="23">
        <f>STDEV(F66:X66)</f>
        <v/>
      </c>
      <c r="AE66" s="21">
        <f>IF(OR(AA66&gt;=8,AC66=1,AD66=0),0,1)</f>
        <v/>
      </c>
      <c r="AF66" s="21">
        <f>IF(AE66=1,"",IF(AC66=1,"Trùng",IF(AA66&gt;=8,"Bỏ trống "&amp;AA66&amp;" ô","Chọn cùng một mức")))</f>
        <v/>
      </c>
      <c r="AG66" s="23">
        <f>IF($AE66=1,AVERAGE(F66:I66),"")</f>
        <v/>
      </c>
      <c r="AH66" s="23">
        <f>IF($AE66=1,AVERAGE(J66:M66),"")</f>
        <v/>
      </c>
      <c r="AI66" s="23">
        <f>IF($AE66=1,AVERAGE(N66:Q66),"")</f>
        <v/>
      </c>
      <c r="AJ66" s="23">
        <f>IF($AE66=1,AVERAGE(R66:U66),"")</f>
        <v/>
      </c>
      <c r="AK66" s="23">
        <f>IF($AE66=1,AVERAGE(V66:X66),"")</f>
        <v/>
      </c>
    </row>
    <row r="67">
      <c r="A67" s="20" t="n">
        <v>45724.66319444445</v>
      </c>
      <c r="B67" s="21" t="n">
        <v>2</v>
      </c>
      <c r="C67" s="21" t="n">
        <v>3</v>
      </c>
      <c r="D67" s="21" t="n">
        <v>1</v>
      </c>
      <c r="E67" s="21" t="n">
        <v>3</v>
      </c>
      <c r="F67" s="21" t="n">
        <v>5</v>
      </c>
      <c r="G67" s="21" t="n">
        <v>4</v>
      </c>
      <c r="H67" s="21" t="n">
        <v>4</v>
      </c>
      <c r="I67" s="21" t="n">
        <v>5</v>
      </c>
      <c r="J67" s="21" t="n">
        <v>4</v>
      </c>
      <c r="K67" s="21" t="n">
        <v>4</v>
      </c>
      <c r="L67" s="21" t="n">
        <v>4</v>
      </c>
      <c r="M67" s="21" t="n">
        <v>5</v>
      </c>
      <c r="N67" s="21" t="n">
        <v>3</v>
      </c>
      <c r="O67" s="21" t="n">
        <v>4</v>
      </c>
      <c r="P67" s="21" t="n">
        <v>3</v>
      </c>
      <c r="Q67" s="21" t="n">
        <v>3</v>
      </c>
      <c r="R67" s="21" t="n">
        <v>3</v>
      </c>
      <c r="S67" s="21" t="n">
        <v>3</v>
      </c>
      <c r="T67" s="21" t="n">
        <v>4</v>
      </c>
      <c r="U67" s="21" t="n">
        <v>3</v>
      </c>
      <c r="V67" s="21" t="n">
        <v>5</v>
      </c>
      <c r="W67" s="21" t="n">
        <v>5</v>
      </c>
      <c r="X67" s="21" t="n">
        <v>4</v>
      </c>
      <c r="Y67" s="22">
        <f>INT(A67)</f>
        <v/>
      </c>
      <c r="Z67" s="21">
        <f>IF(Y67&lt;DATE(2025,3,6),1,IF(Y67&lt;DATE(2025,3,13),2,3))</f>
        <v/>
      </c>
      <c r="AA67" s="21">
        <f>COUNTBLANK(B67:X67)</f>
        <v/>
      </c>
      <c r="AB67" s="21">
        <f>B67&amp;"|"&amp;C67&amp;"|"&amp;D67&amp;"|"&amp;E67&amp;"|"&amp;F67&amp;"|"&amp;G67&amp;"|"&amp;H67&amp;"|"&amp;I67&amp;"|"&amp;J67&amp;"|"&amp;K67&amp;"|"&amp;L67&amp;"|"&amp;M67&amp;"|"&amp;N67&amp;"|"&amp;O67&amp;"|"&amp;P67&amp;"|"&amp;Q67&amp;"|"&amp;R67&amp;"|"&amp;S67&amp;"|"&amp;T67&amp;"|"&amp;U67&amp;"|"&amp;V67&amp;"|"&amp;W67&amp;"|"&amp;X67</f>
        <v/>
      </c>
      <c r="AC67" s="21">
        <f>IF(COUNTIF($AB$2:AB67,AB67)&gt;1,1,0)</f>
        <v/>
      </c>
      <c r="AD67" s="23">
        <f>STDEV(F67:X67)</f>
        <v/>
      </c>
      <c r="AE67" s="21">
        <f>IF(OR(AA67&gt;=8,AC67=1,AD67=0),0,1)</f>
        <v/>
      </c>
      <c r="AF67" s="21">
        <f>IF(AE67=1,"",IF(AC67=1,"Trùng",IF(AA67&gt;=8,"Bỏ trống "&amp;AA67&amp;" ô","Chọn cùng một mức")))</f>
        <v/>
      </c>
      <c r="AG67" s="23">
        <f>IF($AE67=1,AVERAGE(F67:I67),"")</f>
        <v/>
      </c>
      <c r="AH67" s="23">
        <f>IF($AE67=1,AVERAGE(J67:M67),"")</f>
        <v/>
      </c>
      <c r="AI67" s="23">
        <f>IF($AE67=1,AVERAGE(N67:Q67),"")</f>
        <v/>
      </c>
      <c r="AJ67" s="23">
        <f>IF($AE67=1,AVERAGE(R67:U67),"")</f>
        <v/>
      </c>
      <c r="AK67" s="23">
        <f>IF($AE67=1,AVERAGE(V67:X67),"")</f>
        <v/>
      </c>
    </row>
    <row r="68">
      <c r="A68" s="20" t="n">
        <v>45724.69375</v>
      </c>
      <c r="B68" s="21" t="n">
        <v>2</v>
      </c>
      <c r="C68" s="21" t="n">
        <v>2</v>
      </c>
      <c r="D68" s="21" t="n">
        <v>3</v>
      </c>
      <c r="E68" s="21" t="n">
        <v>3</v>
      </c>
      <c r="F68" s="21" t="n">
        <v>4</v>
      </c>
      <c r="G68" s="21" t="n">
        <v>4</v>
      </c>
      <c r="H68" s="21" t="n">
        <v>3</v>
      </c>
      <c r="I68" s="21" t="n">
        <v>3</v>
      </c>
      <c r="J68" s="21" t="n">
        <v>4</v>
      </c>
      <c r="K68" s="21" t="n">
        <v>3</v>
      </c>
      <c r="L68" s="21" t="n">
        <v>5</v>
      </c>
      <c r="M68" s="21" t="n">
        <v>5</v>
      </c>
      <c r="N68" s="21" t="n">
        <v>2</v>
      </c>
      <c r="O68" s="21" t="n">
        <v>3</v>
      </c>
      <c r="P68" s="21" t="n">
        <v>2</v>
      </c>
      <c r="Q68" s="21" t="n">
        <v>4</v>
      </c>
      <c r="R68" s="21" t="n">
        <v>4</v>
      </c>
      <c r="S68" s="21" t="n">
        <v>4</v>
      </c>
      <c r="T68" s="21" t="n">
        <v>3</v>
      </c>
      <c r="U68" s="21" t="n">
        <v>2</v>
      </c>
      <c r="V68" s="21" t="n">
        <v>2</v>
      </c>
      <c r="W68" s="21" t="n">
        <v>3</v>
      </c>
      <c r="X68" s="21" t="n">
        <v>4</v>
      </c>
      <c r="Y68" s="22">
        <f>INT(A68)</f>
        <v/>
      </c>
      <c r="Z68" s="21">
        <f>IF(Y68&lt;DATE(2025,3,6),1,IF(Y68&lt;DATE(2025,3,13),2,3))</f>
        <v/>
      </c>
      <c r="AA68" s="21">
        <f>COUNTBLANK(B68:X68)</f>
        <v/>
      </c>
      <c r="AB68" s="21">
        <f>B68&amp;"|"&amp;C68&amp;"|"&amp;D68&amp;"|"&amp;E68&amp;"|"&amp;F68&amp;"|"&amp;G68&amp;"|"&amp;H68&amp;"|"&amp;I68&amp;"|"&amp;J68&amp;"|"&amp;K68&amp;"|"&amp;L68&amp;"|"&amp;M68&amp;"|"&amp;N68&amp;"|"&amp;O68&amp;"|"&amp;P68&amp;"|"&amp;Q68&amp;"|"&amp;R68&amp;"|"&amp;S68&amp;"|"&amp;T68&amp;"|"&amp;U68&amp;"|"&amp;V68&amp;"|"&amp;W68&amp;"|"&amp;X68</f>
        <v/>
      </c>
      <c r="AC68" s="21">
        <f>IF(COUNTIF($AB$2:AB68,AB68)&gt;1,1,0)</f>
        <v/>
      </c>
      <c r="AD68" s="23">
        <f>STDEV(F68:X68)</f>
        <v/>
      </c>
      <c r="AE68" s="21">
        <f>IF(OR(AA68&gt;=8,AC68=1,AD68=0),0,1)</f>
        <v/>
      </c>
      <c r="AF68" s="21">
        <f>IF(AE68=1,"",IF(AC68=1,"Trùng",IF(AA68&gt;=8,"Bỏ trống "&amp;AA68&amp;" ô","Chọn cùng một mức")))</f>
        <v/>
      </c>
      <c r="AG68" s="23">
        <f>IF($AE68=1,AVERAGE(F68:I68),"")</f>
        <v/>
      </c>
      <c r="AH68" s="23">
        <f>IF($AE68=1,AVERAGE(J68:M68),"")</f>
        <v/>
      </c>
      <c r="AI68" s="23">
        <f>IF($AE68=1,AVERAGE(N68:Q68),"")</f>
        <v/>
      </c>
      <c r="AJ68" s="23">
        <f>IF($AE68=1,AVERAGE(R68:U68),"")</f>
        <v/>
      </c>
      <c r="AK68" s="23">
        <f>IF($AE68=1,AVERAGE(V68:X68),"")</f>
        <v/>
      </c>
    </row>
    <row r="69">
      <c r="A69" s="20" t="n">
        <v>45724.9</v>
      </c>
      <c r="B69" s="21" t="n">
        <v>1</v>
      </c>
      <c r="C69" s="21" t="n">
        <v>3</v>
      </c>
      <c r="D69" s="21" t="n">
        <v>1</v>
      </c>
      <c r="E69" s="21" t="n">
        <v>2</v>
      </c>
      <c r="F69" s="21" t="n">
        <v>3</v>
      </c>
      <c r="G69" s="21" t="n">
        <v>2</v>
      </c>
      <c r="H69" s="21" t="n">
        <v>4</v>
      </c>
      <c r="I69" s="21" t="n">
        <v>3</v>
      </c>
      <c r="J69" s="21" t="n">
        <v>3</v>
      </c>
      <c r="K69" s="21" t="n">
        <v>4</v>
      </c>
      <c r="L69" s="21" t="n">
        <v>3</v>
      </c>
      <c r="M69" s="21" t="n">
        <v>4</v>
      </c>
      <c r="N69" s="21" t="n">
        <v>2</v>
      </c>
      <c r="O69" s="21" t="n">
        <v>3</v>
      </c>
      <c r="P69" s="21" t="n">
        <v>3</v>
      </c>
      <c r="Q69" s="21" t="n">
        <v>4</v>
      </c>
      <c r="R69" s="21" t="n">
        <v>3</v>
      </c>
      <c r="S69" s="21" t="n">
        <v>3</v>
      </c>
      <c r="T69" s="21" t="n">
        <v>3</v>
      </c>
      <c r="U69" s="21" t="n">
        <v>3</v>
      </c>
      <c r="V69" s="21" t="n">
        <v>4</v>
      </c>
      <c r="W69" s="21" t="n">
        <v>3</v>
      </c>
      <c r="X69" s="21" t="n">
        <v>4</v>
      </c>
      <c r="Y69" s="22">
        <f>INT(A69)</f>
        <v/>
      </c>
      <c r="Z69" s="21">
        <f>IF(Y69&lt;DATE(2025,3,6),1,IF(Y69&lt;DATE(2025,3,13),2,3))</f>
        <v/>
      </c>
      <c r="AA69" s="21">
        <f>COUNTBLANK(B69:X69)</f>
        <v/>
      </c>
      <c r="AB69" s="21">
        <f>B69&amp;"|"&amp;C69&amp;"|"&amp;D69&amp;"|"&amp;E69&amp;"|"&amp;F69&amp;"|"&amp;G69&amp;"|"&amp;H69&amp;"|"&amp;I69&amp;"|"&amp;J69&amp;"|"&amp;K69&amp;"|"&amp;L69&amp;"|"&amp;M69&amp;"|"&amp;N69&amp;"|"&amp;O69&amp;"|"&amp;P69&amp;"|"&amp;Q69&amp;"|"&amp;R69&amp;"|"&amp;S69&amp;"|"&amp;T69&amp;"|"&amp;U69&amp;"|"&amp;V69&amp;"|"&amp;W69&amp;"|"&amp;X69</f>
        <v/>
      </c>
      <c r="AC69" s="21">
        <f>IF(COUNTIF($AB$2:AB69,AB69)&gt;1,1,0)</f>
        <v/>
      </c>
      <c r="AD69" s="23">
        <f>STDEV(F69:X69)</f>
        <v/>
      </c>
      <c r="AE69" s="21">
        <f>IF(OR(AA69&gt;=8,AC69=1,AD69=0),0,1)</f>
        <v/>
      </c>
      <c r="AF69" s="21">
        <f>IF(AE69=1,"",IF(AC69=1,"Trùng",IF(AA69&gt;=8,"Bỏ trống "&amp;AA69&amp;" ô","Chọn cùng một mức")))</f>
        <v/>
      </c>
      <c r="AG69" s="23">
        <f>IF($AE69=1,AVERAGE(F69:I69),"")</f>
        <v/>
      </c>
      <c r="AH69" s="23">
        <f>IF($AE69=1,AVERAGE(J69:M69),"")</f>
        <v/>
      </c>
      <c r="AI69" s="23">
        <f>IF($AE69=1,AVERAGE(N69:Q69),"")</f>
        <v/>
      </c>
      <c r="AJ69" s="23">
        <f>IF($AE69=1,AVERAGE(R69:U69),"")</f>
        <v/>
      </c>
      <c r="AK69" s="23">
        <f>IF($AE69=1,AVERAGE(V69:X69),"")</f>
        <v/>
      </c>
    </row>
    <row r="70">
      <c r="A70" s="20" t="n">
        <v>45724.91805555556</v>
      </c>
      <c r="B70" s="21" t="n">
        <v>1</v>
      </c>
      <c r="C70" s="21" t="n">
        <v>2</v>
      </c>
      <c r="D70" s="21" t="n">
        <v>1</v>
      </c>
      <c r="E70" s="21" t="n">
        <v>3</v>
      </c>
      <c r="F70" s="21" t="n">
        <v>4</v>
      </c>
      <c r="G70" s="21" t="n">
        <v>4</v>
      </c>
      <c r="H70" s="21" t="n">
        <v>3</v>
      </c>
      <c r="I70" s="21" t="n">
        <v>5</v>
      </c>
      <c r="J70" s="21" t="n">
        <v>5</v>
      </c>
      <c r="K70" s="21" t="n">
        <v>4</v>
      </c>
      <c r="L70" s="21" t="n">
        <v>4</v>
      </c>
      <c r="M70" s="21" t="n">
        <v>5</v>
      </c>
      <c r="N70" s="21" t="n">
        <v>4</v>
      </c>
      <c r="O70" s="21" t="n">
        <v>5</v>
      </c>
      <c r="P70" s="21" t="n">
        <v>5</v>
      </c>
      <c r="Q70" s="21" t="n">
        <v>5</v>
      </c>
      <c r="R70" s="21" t="n">
        <v>4</v>
      </c>
      <c r="S70" s="21" t="n">
        <v>4</v>
      </c>
      <c r="T70" s="21" t="n">
        <v>4</v>
      </c>
      <c r="U70" s="21" t="n">
        <v>4</v>
      </c>
      <c r="V70" s="21" t="n">
        <v>4</v>
      </c>
      <c r="W70" s="21" t="n">
        <v>3</v>
      </c>
      <c r="X70" s="21" t="n">
        <v>4</v>
      </c>
      <c r="Y70" s="22">
        <f>INT(A70)</f>
        <v/>
      </c>
      <c r="Z70" s="21">
        <f>IF(Y70&lt;DATE(2025,3,6),1,IF(Y70&lt;DATE(2025,3,13),2,3))</f>
        <v/>
      </c>
      <c r="AA70" s="21">
        <f>COUNTBLANK(B70:X70)</f>
        <v/>
      </c>
      <c r="AB70" s="21">
        <f>B70&amp;"|"&amp;C70&amp;"|"&amp;D70&amp;"|"&amp;E70&amp;"|"&amp;F70&amp;"|"&amp;G70&amp;"|"&amp;H70&amp;"|"&amp;I70&amp;"|"&amp;J70&amp;"|"&amp;K70&amp;"|"&amp;L70&amp;"|"&amp;M70&amp;"|"&amp;N70&amp;"|"&amp;O70&amp;"|"&amp;P70&amp;"|"&amp;Q70&amp;"|"&amp;R70&amp;"|"&amp;S70&amp;"|"&amp;T70&amp;"|"&amp;U70&amp;"|"&amp;V70&amp;"|"&amp;W70&amp;"|"&amp;X70</f>
        <v/>
      </c>
      <c r="AC70" s="21">
        <f>IF(COUNTIF($AB$2:AB70,AB70)&gt;1,1,0)</f>
        <v/>
      </c>
      <c r="AD70" s="23">
        <f>STDEV(F70:X70)</f>
        <v/>
      </c>
      <c r="AE70" s="21">
        <f>IF(OR(AA70&gt;=8,AC70=1,AD70=0),0,1)</f>
        <v/>
      </c>
      <c r="AF70" s="21">
        <f>IF(AE70=1,"",IF(AC70=1,"Trùng",IF(AA70&gt;=8,"Bỏ trống "&amp;AA70&amp;" ô","Chọn cùng một mức")))</f>
        <v/>
      </c>
      <c r="AG70" s="23">
        <f>IF($AE70=1,AVERAGE(F70:I70),"")</f>
        <v/>
      </c>
      <c r="AH70" s="23">
        <f>IF($AE70=1,AVERAGE(J70:M70),"")</f>
        <v/>
      </c>
      <c r="AI70" s="23">
        <f>IF($AE70=1,AVERAGE(N70:Q70),"")</f>
        <v/>
      </c>
      <c r="AJ70" s="23">
        <f>IF($AE70=1,AVERAGE(R70:U70),"")</f>
        <v/>
      </c>
      <c r="AK70" s="23">
        <f>IF($AE70=1,AVERAGE(V70:X70),"")</f>
        <v/>
      </c>
    </row>
    <row r="71">
      <c r="A71" s="20" t="n">
        <v>45725.24791666667</v>
      </c>
      <c r="B71" s="21" t="n">
        <v>2</v>
      </c>
      <c r="C71" s="21" t="n">
        <v>1</v>
      </c>
      <c r="D71" s="21" t="n">
        <v>2</v>
      </c>
      <c r="E71" s="21" t="n">
        <v>1</v>
      </c>
      <c r="F71" s="21" t="n">
        <v>3</v>
      </c>
      <c r="G71" s="21" t="n">
        <v>4</v>
      </c>
      <c r="H71" s="21" t="n">
        <v>3</v>
      </c>
      <c r="I71" s="21" t="n">
        <v>4</v>
      </c>
      <c r="J71" s="21" t="n">
        <v>2</v>
      </c>
      <c r="K71" s="21" t="n">
        <v>2</v>
      </c>
      <c r="L71" s="21" t="n">
        <v>3</v>
      </c>
      <c r="M71" s="21" t="n">
        <v>3</v>
      </c>
      <c r="N71" s="21" t="n">
        <v>4</v>
      </c>
      <c r="O71" s="21" t="n">
        <v>3</v>
      </c>
      <c r="P71" s="21" t="n">
        <v>2</v>
      </c>
      <c r="Q71" s="21" t="n">
        <v>4</v>
      </c>
      <c r="R71" s="21" t="n">
        <v>3</v>
      </c>
      <c r="S71" s="21" t="n">
        <v>3</v>
      </c>
      <c r="T71" s="21" t="n">
        <v>2</v>
      </c>
      <c r="U71" s="21" t="n">
        <v>4</v>
      </c>
      <c r="V71" s="21" t="n">
        <v>4</v>
      </c>
      <c r="W71" s="21" t="n">
        <v>4</v>
      </c>
      <c r="X71" s="21" t="n">
        <v>3</v>
      </c>
      <c r="Y71" s="22">
        <f>INT(A71)</f>
        <v/>
      </c>
      <c r="Z71" s="21">
        <f>IF(Y71&lt;DATE(2025,3,6),1,IF(Y71&lt;DATE(2025,3,13),2,3))</f>
        <v/>
      </c>
      <c r="AA71" s="21">
        <f>COUNTBLANK(B71:X71)</f>
        <v/>
      </c>
      <c r="AB71" s="21">
        <f>B71&amp;"|"&amp;C71&amp;"|"&amp;D71&amp;"|"&amp;E71&amp;"|"&amp;F71&amp;"|"&amp;G71&amp;"|"&amp;H71&amp;"|"&amp;I71&amp;"|"&amp;J71&amp;"|"&amp;K71&amp;"|"&amp;L71&amp;"|"&amp;M71&amp;"|"&amp;N71&amp;"|"&amp;O71&amp;"|"&amp;P71&amp;"|"&amp;Q71&amp;"|"&amp;R71&amp;"|"&amp;S71&amp;"|"&amp;T71&amp;"|"&amp;U71&amp;"|"&amp;V71&amp;"|"&amp;W71&amp;"|"&amp;X71</f>
        <v/>
      </c>
      <c r="AC71" s="21">
        <f>IF(COUNTIF($AB$2:AB71,AB71)&gt;1,1,0)</f>
        <v/>
      </c>
      <c r="AD71" s="23">
        <f>STDEV(F71:X71)</f>
        <v/>
      </c>
      <c r="AE71" s="21">
        <f>IF(OR(AA71&gt;=8,AC71=1,AD71=0),0,1)</f>
        <v/>
      </c>
      <c r="AF71" s="21">
        <f>IF(AE71=1,"",IF(AC71=1,"Trùng",IF(AA71&gt;=8,"Bỏ trống "&amp;AA71&amp;" ô","Chọn cùng một mức")))</f>
        <v/>
      </c>
      <c r="AG71" s="23">
        <f>IF($AE71=1,AVERAGE(F71:I71),"")</f>
        <v/>
      </c>
      <c r="AH71" s="23">
        <f>IF($AE71=1,AVERAGE(J71:M71),"")</f>
        <v/>
      </c>
      <c r="AI71" s="23">
        <f>IF($AE71=1,AVERAGE(N71:Q71),"")</f>
        <v/>
      </c>
      <c r="AJ71" s="23">
        <f>IF($AE71=1,AVERAGE(R71:U71),"")</f>
        <v/>
      </c>
      <c r="AK71" s="23">
        <f>IF($AE71=1,AVERAGE(V71:X71),"")</f>
        <v/>
      </c>
    </row>
    <row r="72">
      <c r="A72" s="20" t="n">
        <v>45725.27013888889</v>
      </c>
      <c r="B72" s="21" t="n">
        <v>1</v>
      </c>
      <c r="C72" s="21" t="n">
        <v>2</v>
      </c>
      <c r="D72" s="21" t="n">
        <v>1</v>
      </c>
      <c r="E72" s="21" t="n">
        <v>1</v>
      </c>
      <c r="F72" s="21" t="n">
        <v>3</v>
      </c>
      <c r="G72" s="21" t="n">
        <v>2</v>
      </c>
      <c r="H72" s="21" t="n">
        <v>3</v>
      </c>
      <c r="I72" s="21" t="n">
        <v>4</v>
      </c>
      <c r="J72" s="21" t="n">
        <v>5</v>
      </c>
      <c r="K72" s="21" t="n">
        <v>5</v>
      </c>
      <c r="L72" s="21" t="n">
        <v>3</v>
      </c>
      <c r="M72" s="21" t="n">
        <v>5</v>
      </c>
      <c r="N72" s="21" t="n">
        <v>5</v>
      </c>
      <c r="O72" s="21" t="n">
        <v>5</v>
      </c>
      <c r="P72" s="21" t="n">
        <v>4</v>
      </c>
      <c r="Q72" s="21" t="n">
        <v>3</v>
      </c>
      <c r="R72" s="21" t="n">
        <v>4</v>
      </c>
      <c r="S72" s="21" t="n">
        <v>4</v>
      </c>
      <c r="T72" s="21" t="n">
        <v>3</v>
      </c>
      <c r="U72" s="21" t="n">
        <v>4</v>
      </c>
      <c r="V72" s="21" t="n">
        <v>4</v>
      </c>
      <c r="W72" s="21" t="n">
        <v>3</v>
      </c>
      <c r="X72" s="21" t="n">
        <v>3</v>
      </c>
      <c r="Y72" s="22">
        <f>INT(A72)</f>
        <v/>
      </c>
      <c r="Z72" s="21">
        <f>IF(Y72&lt;DATE(2025,3,6),1,IF(Y72&lt;DATE(2025,3,13),2,3))</f>
        <v/>
      </c>
      <c r="AA72" s="21">
        <f>COUNTBLANK(B72:X72)</f>
        <v/>
      </c>
      <c r="AB72" s="21">
        <f>B72&amp;"|"&amp;C72&amp;"|"&amp;D72&amp;"|"&amp;E72&amp;"|"&amp;F72&amp;"|"&amp;G72&amp;"|"&amp;H72&amp;"|"&amp;I72&amp;"|"&amp;J72&amp;"|"&amp;K72&amp;"|"&amp;L72&amp;"|"&amp;M72&amp;"|"&amp;N72&amp;"|"&amp;O72&amp;"|"&amp;P72&amp;"|"&amp;Q72&amp;"|"&amp;R72&amp;"|"&amp;S72&amp;"|"&amp;T72&amp;"|"&amp;U72&amp;"|"&amp;V72&amp;"|"&amp;W72&amp;"|"&amp;X72</f>
        <v/>
      </c>
      <c r="AC72" s="21">
        <f>IF(COUNTIF($AB$2:AB72,AB72)&gt;1,1,0)</f>
        <v/>
      </c>
      <c r="AD72" s="23">
        <f>STDEV(F72:X72)</f>
        <v/>
      </c>
      <c r="AE72" s="21">
        <f>IF(OR(AA72&gt;=8,AC72=1,AD72=0),0,1)</f>
        <v/>
      </c>
      <c r="AF72" s="21">
        <f>IF(AE72=1,"",IF(AC72=1,"Trùng",IF(AA72&gt;=8,"Bỏ trống "&amp;AA72&amp;" ô","Chọn cùng một mức")))</f>
        <v/>
      </c>
      <c r="AG72" s="23">
        <f>IF($AE72=1,AVERAGE(F72:I72),"")</f>
        <v/>
      </c>
      <c r="AH72" s="23">
        <f>IF($AE72=1,AVERAGE(J72:M72),"")</f>
        <v/>
      </c>
      <c r="AI72" s="23">
        <f>IF($AE72=1,AVERAGE(N72:Q72),"")</f>
        <v/>
      </c>
      <c r="AJ72" s="23">
        <f>IF($AE72=1,AVERAGE(R72:U72),"")</f>
        <v/>
      </c>
      <c r="AK72" s="23">
        <f>IF($AE72=1,AVERAGE(V72:X72),"")</f>
        <v/>
      </c>
    </row>
    <row r="73">
      <c r="A73" s="20" t="n">
        <v>45725.41597222222</v>
      </c>
      <c r="B73" s="21" t="n">
        <v>1</v>
      </c>
      <c r="C73" s="21" t="n">
        <v>2</v>
      </c>
      <c r="D73" s="21" t="n">
        <v>3</v>
      </c>
      <c r="E73" s="21" t="n">
        <v>3</v>
      </c>
      <c r="F73" s="21" t="n">
        <v>4</v>
      </c>
      <c r="G73" s="21" t="n">
        <v>5</v>
      </c>
      <c r="H73" s="21" t="n">
        <v>4</v>
      </c>
      <c r="I73" s="21" t="n">
        <v>4</v>
      </c>
      <c r="J73" s="21" t="n">
        <v>5</v>
      </c>
      <c r="K73" s="21" t="n">
        <v>5</v>
      </c>
      <c r="L73" s="21" t="n">
        <v>4</v>
      </c>
      <c r="M73" s="21" t="n">
        <v>5</v>
      </c>
      <c r="N73" s="21" t="n">
        <v>3</v>
      </c>
      <c r="O73" s="21" t="n">
        <v>4</v>
      </c>
      <c r="P73" s="21" t="n">
        <v>3</v>
      </c>
      <c r="Q73" s="21" t="n">
        <v>4</v>
      </c>
      <c r="R73" s="21" t="n">
        <v>3</v>
      </c>
      <c r="S73" s="21" t="n">
        <v>2</v>
      </c>
      <c r="T73" s="21" t="n">
        <v>3</v>
      </c>
      <c r="U73" s="21" t="n">
        <v>4</v>
      </c>
      <c r="V73" s="21" t="n">
        <v>4</v>
      </c>
      <c r="W73" s="21" t="n">
        <v>4</v>
      </c>
      <c r="X73" s="21" t="n">
        <v>4</v>
      </c>
      <c r="Y73" s="22">
        <f>INT(A73)</f>
        <v/>
      </c>
      <c r="Z73" s="21">
        <f>IF(Y73&lt;DATE(2025,3,6),1,IF(Y73&lt;DATE(2025,3,13),2,3))</f>
        <v/>
      </c>
      <c r="AA73" s="21">
        <f>COUNTBLANK(B73:X73)</f>
        <v/>
      </c>
      <c r="AB73" s="21">
        <f>B73&amp;"|"&amp;C73&amp;"|"&amp;D73&amp;"|"&amp;E73&amp;"|"&amp;F73&amp;"|"&amp;G73&amp;"|"&amp;H73&amp;"|"&amp;I73&amp;"|"&amp;J73&amp;"|"&amp;K73&amp;"|"&amp;L73&amp;"|"&amp;M73&amp;"|"&amp;N73&amp;"|"&amp;O73&amp;"|"&amp;P73&amp;"|"&amp;Q73&amp;"|"&amp;R73&amp;"|"&amp;S73&amp;"|"&amp;T73&amp;"|"&amp;U73&amp;"|"&amp;V73&amp;"|"&amp;W73&amp;"|"&amp;X73</f>
        <v/>
      </c>
      <c r="AC73" s="21">
        <f>IF(COUNTIF($AB$2:AB73,AB73)&gt;1,1,0)</f>
        <v/>
      </c>
      <c r="AD73" s="23">
        <f>STDEV(F73:X73)</f>
        <v/>
      </c>
      <c r="AE73" s="21">
        <f>IF(OR(AA73&gt;=8,AC73=1,AD73=0),0,1)</f>
        <v/>
      </c>
      <c r="AF73" s="21">
        <f>IF(AE73=1,"",IF(AC73=1,"Trùng",IF(AA73&gt;=8,"Bỏ trống "&amp;AA73&amp;" ô","Chọn cùng một mức")))</f>
        <v/>
      </c>
      <c r="AG73" s="23">
        <f>IF($AE73=1,AVERAGE(F73:I73),"")</f>
        <v/>
      </c>
      <c r="AH73" s="23">
        <f>IF($AE73=1,AVERAGE(J73:M73),"")</f>
        <v/>
      </c>
      <c r="AI73" s="23">
        <f>IF($AE73=1,AVERAGE(N73:Q73),"")</f>
        <v/>
      </c>
      <c r="AJ73" s="23">
        <f>IF($AE73=1,AVERAGE(R73:U73),"")</f>
        <v/>
      </c>
      <c r="AK73" s="23">
        <f>IF($AE73=1,AVERAGE(V73:X73),"")</f>
        <v/>
      </c>
    </row>
    <row r="74">
      <c r="A74" s="20" t="n">
        <v>45725.63333333333</v>
      </c>
      <c r="B74" s="21" t="n">
        <v>2</v>
      </c>
      <c r="C74" s="21" t="n">
        <v>5</v>
      </c>
      <c r="D74" s="21" t="n">
        <v>3</v>
      </c>
      <c r="E74" s="21" t="n">
        <v>2</v>
      </c>
      <c r="F74" s="21" t="n"/>
      <c r="G74" s="21" t="n"/>
      <c r="H74" s="21" t="n"/>
      <c r="I74" s="21" t="n">
        <v>4</v>
      </c>
      <c r="J74" s="21" t="n">
        <v>5</v>
      </c>
      <c r="K74" s="21" t="n">
        <v>1</v>
      </c>
      <c r="L74" s="21" t="n">
        <v>3</v>
      </c>
      <c r="M74" s="21" t="n"/>
      <c r="N74" s="21" t="n">
        <v>1</v>
      </c>
      <c r="O74" s="21" t="n"/>
      <c r="P74" s="21" t="n">
        <v>3</v>
      </c>
      <c r="Q74" s="21" t="n">
        <v>3</v>
      </c>
      <c r="R74" s="21" t="n">
        <v>2</v>
      </c>
      <c r="S74" s="21" t="n">
        <v>1</v>
      </c>
      <c r="T74" s="21" t="n"/>
      <c r="U74" s="21" t="n"/>
      <c r="V74" s="21" t="n"/>
      <c r="W74" s="21" t="n"/>
      <c r="X74" s="21" t="n"/>
      <c r="Y74" s="22">
        <f>INT(A74)</f>
        <v/>
      </c>
      <c r="Z74" s="21">
        <f>IF(Y74&lt;DATE(2025,3,6),1,IF(Y74&lt;DATE(2025,3,13),2,3))</f>
        <v/>
      </c>
      <c r="AA74" s="21">
        <f>COUNTBLANK(B74:X74)</f>
        <v/>
      </c>
      <c r="AB74" s="21">
        <f>B74&amp;"|"&amp;C74&amp;"|"&amp;D74&amp;"|"&amp;E74&amp;"|"&amp;F74&amp;"|"&amp;G74&amp;"|"&amp;H74&amp;"|"&amp;I74&amp;"|"&amp;J74&amp;"|"&amp;K74&amp;"|"&amp;L74&amp;"|"&amp;M74&amp;"|"&amp;N74&amp;"|"&amp;O74&amp;"|"&amp;P74&amp;"|"&amp;Q74&amp;"|"&amp;R74&amp;"|"&amp;S74&amp;"|"&amp;T74&amp;"|"&amp;U74&amp;"|"&amp;V74&amp;"|"&amp;W74&amp;"|"&amp;X74</f>
        <v/>
      </c>
      <c r="AC74" s="21">
        <f>IF(COUNTIF($AB$2:AB74,AB74)&gt;1,1,0)</f>
        <v/>
      </c>
      <c r="AD74" s="23">
        <f>STDEV(F74:X74)</f>
        <v/>
      </c>
      <c r="AE74" s="21">
        <f>IF(OR(AA74&gt;=8,AC74=1,AD74=0),0,1)</f>
        <v/>
      </c>
      <c r="AF74" s="21">
        <f>IF(AE74=1,"",IF(AC74=1,"Trùng",IF(AA74&gt;=8,"Bỏ trống "&amp;AA74&amp;" ô","Chọn cùng một mức")))</f>
        <v/>
      </c>
      <c r="AG74" s="23">
        <f>IF($AE74=1,AVERAGE(F74:I74),"")</f>
        <v/>
      </c>
      <c r="AH74" s="23">
        <f>IF($AE74=1,AVERAGE(J74:M74),"")</f>
        <v/>
      </c>
      <c r="AI74" s="23">
        <f>IF($AE74=1,AVERAGE(N74:Q74),"")</f>
        <v/>
      </c>
      <c r="AJ74" s="23">
        <f>IF($AE74=1,AVERAGE(R74:U74),"")</f>
        <v/>
      </c>
      <c r="AK74" s="23">
        <f>IF($AE74=1,AVERAGE(V74:X74),"")</f>
        <v/>
      </c>
    </row>
    <row r="75">
      <c r="A75" s="20" t="n">
        <v>45725.81041666667</v>
      </c>
      <c r="B75" s="21" t="n">
        <v>2</v>
      </c>
      <c r="C75" s="21" t="n">
        <v>1</v>
      </c>
      <c r="D75" s="21" t="n">
        <v>3</v>
      </c>
      <c r="E75" s="21" t="n">
        <v>1</v>
      </c>
      <c r="F75" s="21" t="n">
        <v>5</v>
      </c>
      <c r="G75" s="21" t="n">
        <v>4</v>
      </c>
      <c r="H75" s="21" t="n">
        <v>4</v>
      </c>
      <c r="I75" s="21" t="n">
        <v>4</v>
      </c>
      <c r="J75" s="21" t="n">
        <v>4</v>
      </c>
      <c r="K75" s="21" t="n">
        <v>2</v>
      </c>
      <c r="L75" s="21" t="n">
        <v>3</v>
      </c>
      <c r="M75" s="21" t="n">
        <v>3</v>
      </c>
      <c r="N75" s="21" t="n">
        <v>3</v>
      </c>
      <c r="O75" s="21" t="n">
        <v>4</v>
      </c>
      <c r="P75" s="21" t="n">
        <v>4</v>
      </c>
      <c r="Q75" s="21" t="n">
        <v>4</v>
      </c>
      <c r="R75" s="21" t="n">
        <v>3</v>
      </c>
      <c r="S75" s="21" t="n">
        <v>3</v>
      </c>
      <c r="T75" s="21" t="n">
        <v>5</v>
      </c>
      <c r="U75" s="21" t="n">
        <v>3</v>
      </c>
      <c r="V75" s="21" t="n">
        <v>2</v>
      </c>
      <c r="W75" s="21" t="n">
        <v>4</v>
      </c>
      <c r="X75" s="21" t="n">
        <v>4</v>
      </c>
      <c r="Y75" s="22">
        <f>INT(A75)</f>
        <v/>
      </c>
      <c r="Z75" s="21">
        <f>IF(Y75&lt;DATE(2025,3,6),1,IF(Y75&lt;DATE(2025,3,13),2,3))</f>
        <v/>
      </c>
      <c r="AA75" s="21">
        <f>COUNTBLANK(B75:X75)</f>
        <v/>
      </c>
      <c r="AB75" s="21">
        <f>B75&amp;"|"&amp;C75&amp;"|"&amp;D75&amp;"|"&amp;E75&amp;"|"&amp;F75&amp;"|"&amp;G75&amp;"|"&amp;H75&amp;"|"&amp;I75&amp;"|"&amp;J75&amp;"|"&amp;K75&amp;"|"&amp;L75&amp;"|"&amp;M75&amp;"|"&amp;N75&amp;"|"&amp;O75&amp;"|"&amp;P75&amp;"|"&amp;Q75&amp;"|"&amp;R75&amp;"|"&amp;S75&amp;"|"&amp;T75&amp;"|"&amp;U75&amp;"|"&amp;V75&amp;"|"&amp;W75&amp;"|"&amp;X75</f>
        <v/>
      </c>
      <c r="AC75" s="21">
        <f>IF(COUNTIF($AB$2:AB75,AB75)&gt;1,1,0)</f>
        <v/>
      </c>
      <c r="AD75" s="23">
        <f>STDEV(F75:X75)</f>
        <v/>
      </c>
      <c r="AE75" s="21">
        <f>IF(OR(AA75&gt;=8,AC75=1,AD75=0),0,1)</f>
        <v/>
      </c>
      <c r="AF75" s="21">
        <f>IF(AE75=1,"",IF(AC75=1,"Trùng",IF(AA75&gt;=8,"Bỏ trống "&amp;AA75&amp;" ô","Chọn cùng một mức")))</f>
        <v/>
      </c>
      <c r="AG75" s="23">
        <f>IF($AE75=1,AVERAGE(F75:I75),"")</f>
        <v/>
      </c>
      <c r="AH75" s="23">
        <f>IF($AE75=1,AVERAGE(J75:M75),"")</f>
        <v/>
      </c>
      <c r="AI75" s="23">
        <f>IF($AE75=1,AVERAGE(N75:Q75),"")</f>
        <v/>
      </c>
      <c r="AJ75" s="23">
        <f>IF($AE75=1,AVERAGE(R75:U75),"")</f>
        <v/>
      </c>
      <c r="AK75" s="23">
        <f>IF($AE75=1,AVERAGE(V75:X75),"")</f>
        <v/>
      </c>
    </row>
    <row r="76">
      <c r="A76" s="20" t="n">
        <v>45725.93402777778</v>
      </c>
      <c r="B76" s="21" t="n">
        <v>2</v>
      </c>
      <c r="C76" s="21" t="n">
        <v>2</v>
      </c>
      <c r="D76" s="21" t="n">
        <v>3</v>
      </c>
      <c r="E76" s="21" t="n">
        <v>1</v>
      </c>
      <c r="F76" s="21" t="n">
        <v>4</v>
      </c>
      <c r="G76" s="21" t="n">
        <v>3</v>
      </c>
      <c r="H76" s="21" t="n">
        <v>5</v>
      </c>
      <c r="I76" s="21" t="n">
        <v>3</v>
      </c>
      <c r="J76" s="21" t="n">
        <v>4</v>
      </c>
      <c r="K76" s="21" t="n">
        <v>4</v>
      </c>
      <c r="L76" s="21" t="n">
        <v>4</v>
      </c>
      <c r="M76" s="21" t="n">
        <v>4</v>
      </c>
      <c r="N76" s="21" t="n">
        <v>3</v>
      </c>
      <c r="O76" s="21" t="n">
        <v>4</v>
      </c>
      <c r="P76" s="21" t="n">
        <v>3</v>
      </c>
      <c r="Q76" s="21" t="n">
        <v>4</v>
      </c>
      <c r="R76" s="21" t="n">
        <v>4</v>
      </c>
      <c r="S76" s="21" t="n">
        <v>4</v>
      </c>
      <c r="T76" s="21" t="n">
        <v>5</v>
      </c>
      <c r="U76" s="21" t="n">
        <v>4</v>
      </c>
      <c r="V76" s="21" t="n">
        <v>4</v>
      </c>
      <c r="W76" s="21" t="n">
        <v>3</v>
      </c>
      <c r="X76" s="21" t="n">
        <v>4</v>
      </c>
      <c r="Y76" s="22">
        <f>INT(A76)</f>
        <v/>
      </c>
      <c r="Z76" s="21">
        <f>IF(Y76&lt;DATE(2025,3,6),1,IF(Y76&lt;DATE(2025,3,13),2,3))</f>
        <v/>
      </c>
      <c r="AA76" s="21">
        <f>COUNTBLANK(B76:X76)</f>
        <v/>
      </c>
      <c r="AB76" s="21">
        <f>B76&amp;"|"&amp;C76&amp;"|"&amp;D76&amp;"|"&amp;E76&amp;"|"&amp;F76&amp;"|"&amp;G76&amp;"|"&amp;H76&amp;"|"&amp;I76&amp;"|"&amp;J76&amp;"|"&amp;K76&amp;"|"&amp;L76&amp;"|"&amp;M76&amp;"|"&amp;N76&amp;"|"&amp;O76&amp;"|"&amp;P76&amp;"|"&amp;Q76&amp;"|"&amp;R76&amp;"|"&amp;S76&amp;"|"&amp;T76&amp;"|"&amp;U76&amp;"|"&amp;V76&amp;"|"&amp;W76&amp;"|"&amp;X76</f>
        <v/>
      </c>
      <c r="AC76" s="21">
        <f>IF(COUNTIF($AB$2:AB76,AB76)&gt;1,1,0)</f>
        <v/>
      </c>
      <c r="AD76" s="23">
        <f>STDEV(F76:X76)</f>
        <v/>
      </c>
      <c r="AE76" s="21">
        <f>IF(OR(AA76&gt;=8,AC76=1,AD76=0),0,1)</f>
        <v/>
      </c>
      <c r="AF76" s="21">
        <f>IF(AE76=1,"",IF(AC76=1,"Trùng",IF(AA76&gt;=8,"Bỏ trống "&amp;AA76&amp;" ô","Chọn cùng một mức")))</f>
        <v/>
      </c>
      <c r="AG76" s="23">
        <f>IF($AE76=1,AVERAGE(F76:I76),"")</f>
        <v/>
      </c>
      <c r="AH76" s="23">
        <f>IF($AE76=1,AVERAGE(J76:M76),"")</f>
        <v/>
      </c>
      <c r="AI76" s="23">
        <f>IF($AE76=1,AVERAGE(N76:Q76),"")</f>
        <v/>
      </c>
      <c r="AJ76" s="23">
        <f>IF($AE76=1,AVERAGE(R76:U76),"")</f>
        <v/>
      </c>
      <c r="AK76" s="23">
        <f>IF($AE76=1,AVERAGE(V76:X76),"")</f>
        <v/>
      </c>
    </row>
    <row r="77">
      <c r="A77" s="20" t="n">
        <v>45726.04097222222</v>
      </c>
      <c r="B77" s="21" t="n">
        <v>1</v>
      </c>
      <c r="C77" s="21" t="n">
        <v>3</v>
      </c>
      <c r="D77" s="21" t="n">
        <v>2</v>
      </c>
      <c r="E77" s="21" t="n">
        <v>3</v>
      </c>
      <c r="F77" s="21" t="n">
        <v>4</v>
      </c>
      <c r="G77" s="21" t="n">
        <v>4</v>
      </c>
      <c r="H77" s="21" t="n">
        <v>5</v>
      </c>
      <c r="I77" s="21" t="n">
        <v>4</v>
      </c>
      <c r="J77" s="21" t="n">
        <v>4</v>
      </c>
      <c r="K77" s="21" t="n">
        <v>4</v>
      </c>
      <c r="L77" s="21" t="n">
        <v>5</v>
      </c>
      <c r="M77" s="21" t="n">
        <v>5</v>
      </c>
      <c r="N77" s="21" t="n">
        <v>4</v>
      </c>
      <c r="O77" s="21" t="n">
        <v>5</v>
      </c>
      <c r="P77" s="21" t="n">
        <v>4</v>
      </c>
      <c r="Q77" s="21" t="n">
        <v>5</v>
      </c>
      <c r="R77" s="21" t="n">
        <v>4</v>
      </c>
      <c r="S77" s="21" t="n">
        <v>3</v>
      </c>
      <c r="T77" s="21" t="n">
        <v>5</v>
      </c>
      <c r="U77" s="21" t="n">
        <v>5</v>
      </c>
      <c r="V77" s="21" t="n">
        <v>5</v>
      </c>
      <c r="W77" s="21" t="n">
        <v>4</v>
      </c>
      <c r="X77" s="21" t="n">
        <v>4</v>
      </c>
      <c r="Y77" s="22">
        <f>INT(A77)</f>
        <v/>
      </c>
      <c r="Z77" s="21">
        <f>IF(Y77&lt;DATE(2025,3,6),1,IF(Y77&lt;DATE(2025,3,13),2,3))</f>
        <v/>
      </c>
      <c r="AA77" s="21">
        <f>COUNTBLANK(B77:X77)</f>
        <v/>
      </c>
      <c r="AB77" s="21">
        <f>B77&amp;"|"&amp;C77&amp;"|"&amp;D77&amp;"|"&amp;E77&amp;"|"&amp;F77&amp;"|"&amp;G77&amp;"|"&amp;H77&amp;"|"&amp;I77&amp;"|"&amp;J77&amp;"|"&amp;K77&amp;"|"&amp;L77&amp;"|"&amp;M77&amp;"|"&amp;N77&amp;"|"&amp;O77&amp;"|"&amp;P77&amp;"|"&amp;Q77&amp;"|"&amp;R77&amp;"|"&amp;S77&amp;"|"&amp;T77&amp;"|"&amp;U77&amp;"|"&amp;V77&amp;"|"&amp;W77&amp;"|"&amp;X77</f>
        <v/>
      </c>
      <c r="AC77" s="21">
        <f>IF(COUNTIF($AB$2:AB77,AB77)&gt;1,1,0)</f>
        <v/>
      </c>
      <c r="AD77" s="23">
        <f>STDEV(F77:X77)</f>
        <v/>
      </c>
      <c r="AE77" s="21">
        <f>IF(OR(AA77&gt;=8,AC77=1,AD77=0),0,1)</f>
        <v/>
      </c>
      <c r="AF77" s="21">
        <f>IF(AE77=1,"",IF(AC77=1,"Trùng",IF(AA77&gt;=8,"Bỏ trống "&amp;AA77&amp;" ô","Chọn cùng một mức")))</f>
        <v/>
      </c>
      <c r="AG77" s="23">
        <f>IF($AE77=1,AVERAGE(F77:I77),"")</f>
        <v/>
      </c>
      <c r="AH77" s="23">
        <f>IF($AE77=1,AVERAGE(J77:M77),"")</f>
        <v/>
      </c>
      <c r="AI77" s="23">
        <f>IF($AE77=1,AVERAGE(N77:Q77),"")</f>
        <v/>
      </c>
      <c r="AJ77" s="23">
        <f>IF($AE77=1,AVERAGE(R77:U77),"")</f>
        <v/>
      </c>
      <c r="AK77" s="23">
        <f>IF($AE77=1,AVERAGE(V77:X77),"")</f>
        <v/>
      </c>
    </row>
    <row r="78">
      <c r="A78" s="20" t="n">
        <v>45726.20902777778</v>
      </c>
      <c r="B78" s="21" t="n">
        <v>1</v>
      </c>
      <c r="C78" s="21" t="n">
        <v>4</v>
      </c>
      <c r="D78" s="21" t="n">
        <v>1</v>
      </c>
      <c r="E78" s="21" t="n">
        <v>1</v>
      </c>
      <c r="F78" s="21" t="n">
        <v>3</v>
      </c>
      <c r="G78" s="21" t="n">
        <v>3</v>
      </c>
      <c r="H78" s="21" t="n">
        <v>2</v>
      </c>
      <c r="I78" s="21" t="n">
        <v>3</v>
      </c>
      <c r="J78" s="21" t="n">
        <v>2</v>
      </c>
      <c r="K78" s="21" t="n">
        <v>2</v>
      </c>
      <c r="L78" s="21" t="n">
        <v>1</v>
      </c>
      <c r="M78" s="21" t="n">
        <v>2</v>
      </c>
      <c r="N78" s="21" t="n">
        <v>2</v>
      </c>
      <c r="O78" s="21" t="n">
        <v>3</v>
      </c>
      <c r="P78" s="21" t="n">
        <v>2</v>
      </c>
      <c r="Q78" s="21" t="n">
        <v>3</v>
      </c>
      <c r="R78" s="21" t="n">
        <v>2</v>
      </c>
      <c r="S78" s="21" t="n">
        <v>2</v>
      </c>
      <c r="T78" s="21" t="n">
        <v>2</v>
      </c>
      <c r="U78" s="21" t="n">
        <v>2</v>
      </c>
      <c r="V78" s="21" t="n">
        <v>2</v>
      </c>
      <c r="W78" s="21" t="n">
        <v>3</v>
      </c>
      <c r="X78" s="21" t="n">
        <v>2</v>
      </c>
      <c r="Y78" s="22">
        <f>INT(A78)</f>
        <v/>
      </c>
      <c r="Z78" s="21">
        <f>IF(Y78&lt;DATE(2025,3,6),1,IF(Y78&lt;DATE(2025,3,13),2,3))</f>
        <v/>
      </c>
      <c r="AA78" s="21">
        <f>COUNTBLANK(B78:X78)</f>
        <v/>
      </c>
      <c r="AB78" s="21">
        <f>B78&amp;"|"&amp;C78&amp;"|"&amp;D78&amp;"|"&amp;E78&amp;"|"&amp;F78&amp;"|"&amp;G78&amp;"|"&amp;H78&amp;"|"&amp;I78&amp;"|"&amp;J78&amp;"|"&amp;K78&amp;"|"&amp;L78&amp;"|"&amp;M78&amp;"|"&amp;N78&amp;"|"&amp;O78&amp;"|"&amp;P78&amp;"|"&amp;Q78&amp;"|"&amp;R78&amp;"|"&amp;S78&amp;"|"&amp;T78&amp;"|"&amp;U78&amp;"|"&amp;V78&amp;"|"&amp;W78&amp;"|"&amp;X78</f>
        <v/>
      </c>
      <c r="AC78" s="21">
        <f>IF(COUNTIF($AB$2:AB78,AB78)&gt;1,1,0)</f>
        <v/>
      </c>
      <c r="AD78" s="23">
        <f>STDEV(F78:X78)</f>
        <v/>
      </c>
      <c r="AE78" s="21">
        <f>IF(OR(AA78&gt;=8,AC78=1,AD78=0),0,1)</f>
        <v/>
      </c>
      <c r="AF78" s="21">
        <f>IF(AE78=1,"",IF(AC78=1,"Trùng",IF(AA78&gt;=8,"Bỏ trống "&amp;AA78&amp;" ô","Chọn cùng một mức")))</f>
        <v/>
      </c>
      <c r="AG78" s="23">
        <f>IF($AE78=1,AVERAGE(F78:I78),"")</f>
        <v/>
      </c>
      <c r="AH78" s="23">
        <f>IF($AE78=1,AVERAGE(J78:M78),"")</f>
        <v/>
      </c>
      <c r="AI78" s="23">
        <f>IF($AE78=1,AVERAGE(N78:Q78),"")</f>
        <v/>
      </c>
      <c r="AJ78" s="23">
        <f>IF($AE78=1,AVERAGE(R78:U78),"")</f>
        <v/>
      </c>
      <c r="AK78" s="23">
        <f>IF($AE78=1,AVERAGE(V78:X78),"")</f>
        <v/>
      </c>
    </row>
    <row r="79">
      <c r="A79" s="20" t="n">
        <v>45726.33611111111</v>
      </c>
      <c r="B79" s="21" t="n">
        <v>1</v>
      </c>
      <c r="C79" s="21" t="n">
        <v>3</v>
      </c>
      <c r="D79" s="21" t="n">
        <v>3</v>
      </c>
      <c r="E79" s="21" t="n">
        <v>1</v>
      </c>
      <c r="F79" s="21" t="n">
        <v>2</v>
      </c>
      <c r="G79" s="21" t="n">
        <v>4</v>
      </c>
      <c r="H79" s="21" t="n">
        <v>3</v>
      </c>
      <c r="I79" s="21" t="n">
        <v>3</v>
      </c>
      <c r="J79" s="21" t="n">
        <v>4</v>
      </c>
      <c r="K79" s="21" t="n">
        <v>3</v>
      </c>
      <c r="L79" s="21" t="n">
        <v>3</v>
      </c>
      <c r="M79" s="21" t="n">
        <v>3</v>
      </c>
      <c r="N79" s="21" t="n">
        <v>4</v>
      </c>
      <c r="O79" s="21" t="n">
        <v>3</v>
      </c>
      <c r="P79" s="21" t="n">
        <v>4</v>
      </c>
      <c r="Q79" s="21" t="n">
        <v>2</v>
      </c>
      <c r="R79" s="21" t="n">
        <v>2</v>
      </c>
      <c r="S79" s="21" t="n">
        <v>4</v>
      </c>
      <c r="T79" s="21" t="n">
        <v>3</v>
      </c>
      <c r="U79" s="21" t="n">
        <v>4</v>
      </c>
      <c r="V79" s="21" t="n">
        <v>3</v>
      </c>
      <c r="W79" s="21" t="n">
        <v>3</v>
      </c>
      <c r="X79" s="21" t="n">
        <v>4</v>
      </c>
      <c r="Y79" s="22">
        <f>INT(A79)</f>
        <v/>
      </c>
      <c r="Z79" s="21">
        <f>IF(Y79&lt;DATE(2025,3,6),1,IF(Y79&lt;DATE(2025,3,13),2,3))</f>
        <v/>
      </c>
      <c r="AA79" s="21">
        <f>COUNTBLANK(B79:X79)</f>
        <v/>
      </c>
      <c r="AB79" s="21">
        <f>B79&amp;"|"&amp;C79&amp;"|"&amp;D79&amp;"|"&amp;E79&amp;"|"&amp;F79&amp;"|"&amp;G79&amp;"|"&amp;H79&amp;"|"&amp;I79&amp;"|"&amp;J79&amp;"|"&amp;K79&amp;"|"&amp;L79&amp;"|"&amp;M79&amp;"|"&amp;N79&amp;"|"&amp;O79&amp;"|"&amp;P79&amp;"|"&amp;Q79&amp;"|"&amp;R79&amp;"|"&amp;S79&amp;"|"&amp;T79&amp;"|"&amp;U79&amp;"|"&amp;V79&amp;"|"&amp;W79&amp;"|"&amp;X79</f>
        <v/>
      </c>
      <c r="AC79" s="21">
        <f>IF(COUNTIF($AB$2:AB79,AB79)&gt;1,1,0)</f>
        <v/>
      </c>
      <c r="AD79" s="23">
        <f>STDEV(F79:X79)</f>
        <v/>
      </c>
      <c r="AE79" s="21">
        <f>IF(OR(AA79&gt;=8,AC79=1,AD79=0),0,1)</f>
        <v/>
      </c>
      <c r="AF79" s="21">
        <f>IF(AE79=1,"",IF(AC79=1,"Trùng",IF(AA79&gt;=8,"Bỏ trống "&amp;AA79&amp;" ô","Chọn cùng một mức")))</f>
        <v/>
      </c>
      <c r="AG79" s="23">
        <f>IF($AE79=1,AVERAGE(F79:I79),"")</f>
        <v/>
      </c>
      <c r="AH79" s="23">
        <f>IF($AE79=1,AVERAGE(J79:M79),"")</f>
        <v/>
      </c>
      <c r="AI79" s="23">
        <f>IF($AE79=1,AVERAGE(N79:Q79),"")</f>
        <v/>
      </c>
      <c r="AJ79" s="23">
        <f>IF($AE79=1,AVERAGE(R79:U79),"")</f>
        <v/>
      </c>
      <c r="AK79" s="23">
        <f>IF($AE79=1,AVERAGE(V79:X79),"")</f>
        <v/>
      </c>
    </row>
    <row r="80">
      <c r="A80" s="20" t="n">
        <v>45726.35347222222</v>
      </c>
      <c r="B80" s="21" t="n">
        <v>1</v>
      </c>
      <c r="C80" s="21" t="n">
        <v>2</v>
      </c>
      <c r="D80" s="21" t="n">
        <v>1</v>
      </c>
      <c r="E80" s="21" t="n">
        <v>2</v>
      </c>
      <c r="F80" s="21" t="n">
        <v>3</v>
      </c>
      <c r="G80" s="21" t="n">
        <v>2</v>
      </c>
      <c r="H80" s="21" t="n">
        <v>3</v>
      </c>
      <c r="I80" s="21" t="n">
        <v>4</v>
      </c>
      <c r="J80" s="21" t="n">
        <v>3</v>
      </c>
      <c r="K80" s="21" t="n">
        <v>3</v>
      </c>
      <c r="L80" s="21" t="n">
        <v>3</v>
      </c>
      <c r="M80" s="21" t="n">
        <v>4</v>
      </c>
      <c r="N80" s="21" t="n">
        <v>3</v>
      </c>
      <c r="O80" s="21" t="n">
        <v>3</v>
      </c>
      <c r="P80" s="21" t="n">
        <v>3</v>
      </c>
      <c r="Q80" s="21" t="n">
        <v>2</v>
      </c>
      <c r="R80" s="21" t="n">
        <v>4</v>
      </c>
      <c r="S80" s="21" t="n">
        <v>3</v>
      </c>
      <c r="T80" s="21" t="n">
        <v>3</v>
      </c>
      <c r="U80" s="21" t="n">
        <v>4</v>
      </c>
      <c r="V80" s="21" t="n">
        <v>2</v>
      </c>
      <c r="W80" s="21" t="n">
        <v>2</v>
      </c>
      <c r="X80" s="21" t="n">
        <v>2</v>
      </c>
      <c r="Y80" s="22">
        <f>INT(A80)</f>
        <v/>
      </c>
      <c r="Z80" s="21">
        <f>IF(Y80&lt;DATE(2025,3,6),1,IF(Y80&lt;DATE(2025,3,13),2,3))</f>
        <v/>
      </c>
      <c r="AA80" s="21">
        <f>COUNTBLANK(B80:X80)</f>
        <v/>
      </c>
      <c r="AB80" s="21">
        <f>B80&amp;"|"&amp;C80&amp;"|"&amp;D80&amp;"|"&amp;E80&amp;"|"&amp;F80&amp;"|"&amp;G80&amp;"|"&amp;H80&amp;"|"&amp;I80&amp;"|"&amp;J80&amp;"|"&amp;K80&amp;"|"&amp;L80&amp;"|"&amp;M80&amp;"|"&amp;N80&amp;"|"&amp;O80&amp;"|"&amp;P80&amp;"|"&amp;Q80&amp;"|"&amp;R80&amp;"|"&amp;S80&amp;"|"&amp;T80&amp;"|"&amp;U80&amp;"|"&amp;V80&amp;"|"&amp;W80&amp;"|"&amp;X80</f>
        <v/>
      </c>
      <c r="AC80" s="21">
        <f>IF(COUNTIF($AB$2:AB80,AB80)&gt;1,1,0)</f>
        <v/>
      </c>
      <c r="AD80" s="23">
        <f>STDEV(F80:X80)</f>
        <v/>
      </c>
      <c r="AE80" s="21">
        <f>IF(OR(AA80&gt;=8,AC80=1,AD80=0),0,1)</f>
        <v/>
      </c>
      <c r="AF80" s="21">
        <f>IF(AE80=1,"",IF(AC80=1,"Trùng",IF(AA80&gt;=8,"Bỏ trống "&amp;AA80&amp;" ô","Chọn cùng một mức")))</f>
        <v/>
      </c>
      <c r="AG80" s="23">
        <f>IF($AE80=1,AVERAGE(F80:I80),"")</f>
        <v/>
      </c>
      <c r="AH80" s="23">
        <f>IF($AE80=1,AVERAGE(J80:M80),"")</f>
        <v/>
      </c>
      <c r="AI80" s="23">
        <f>IF($AE80=1,AVERAGE(N80:Q80),"")</f>
        <v/>
      </c>
      <c r="AJ80" s="23">
        <f>IF($AE80=1,AVERAGE(R80:U80),"")</f>
        <v/>
      </c>
      <c r="AK80" s="23">
        <f>IF($AE80=1,AVERAGE(V80:X80),"")</f>
        <v/>
      </c>
    </row>
    <row r="81">
      <c r="A81" s="20" t="n">
        <v>45726.45763888889</v>
      </c>
      <c r="B81" s="21" t="n">
        <v>1</v>
      </c>
      <c r="C81" s="21" t="n">
        <v>3</v>
      </c>
      <c r="D81" s="21" t="n">
        <v>1</v>
      </c>
      <c r="E81" s="21" t="n">
        <v>2</v>
      </c>
      <c r="F81" s="21" t="n">
        <v>4</v>
      </c>
      <c r="G81" s="21" t="n">
        <v>4</v>
      </c>
      <c r="H81" s="21" t="n">
        <v>5</v>
      </c>
      <c r="I81" s="21" t="n">
        <v>3</v>
      </c>
      <c r="J81" s="21" t="n">
        <v>4</v>
      </c>
      <c r="K81" s="21" t="n">
        <v>4</v>
      </c>
      <c r="L81" s="21" t="n">
        <v>4</v>
      </c>
      <c r="M81" s="21" t="n">
        <v>2</v>
      </c>
      <c r="N81" s="21" t="n">
        <v>3</v>
      </c>
      <c r="O81" s="21" t="n">
        <v>4</v>
      </c>
      <c r="P81" s="21" t="n">
        <v>3</v>
      </c>
      <c r="Q81" s="21" t="n">
        <v>4</v>
      </c>
      <c r="R81" s="21" t="n">
        <v>4</v>
      </c>
      <c r="S81" s="21" t="n">
        <v>4</v>
      </c>
      <c r="T81" s="21" t="n">
        <v>2</v>
      </c>
      <c r="U81" s="21" t="n">
        <v>3</v>
      </c>
      <c r="V81" s="21" t="n">
        <v>4</v>
      </c>
      <c r="W81" s="21" t="n">
        <v>4</v>
      </c>
      <c r="X81" s="21" t="n">
        <v>4</v>
      </c>
      <c r="Y81" s="22">
        <f>INT(A81)</f>
        <v/>
      </c>
      <c r="Z81" s="21">
        <f>IF(Y81&lt;DATE(2025,3,6),1,IF(Y81&lt;DATE(2025,3,13),2,3))</f>
        <v/>
      </c>
      <c r="AA81" s="21">
        <f>COUNTBLANK(B81:X81)</f>
        <v/>
      </c>
      <c r="AB81" s="21">
        <f>B81&amp;"|"&amp;C81&amp;"|"&amp;D81&amp;"|"&amp;E81&amp;"|"&amp;F81&amp;"|"&amp;G81&amp;"|"&amp;H81&amp;"|"&amp;I81&amp;"|"&amp;J81&amp;"|"&amp;K81&amp;"|"&amp;L81&amp;"|"&amp;M81&amp;"|"&amp;N81&amp;"|"&amp;O81&amp;"|"&amp;P81&amp;"|"&amp;Q81&amp;"|"&amp;R81&amp;"|"&amp;S81&amp;"|"&amp;T81&amp;"|"&amp;U81&amp;"|"&amp;V81&amp;"|"&amp;W81&amp;"|"&amp;X81</f>
        <v/>
      </c>
      <c r="AC81" s="21">
        <f>IF(COUNTIF($AB$2:AB81,AB81)&gt;1,1,0)</f>
        <v/>
      </c>
      <c r="AD81" s="23">
        <f>STDEV(F81:X81)</f>
        <v/>
      </c>
      <c r="AE81" s="21">
        <f>IF(OR(AA81&gt;=8,AC81=1,AD81=0),0,1)</f>
        <v/>
      </c>
      <c r="AF81" s="21">
        <f>IF(AE81=1,"",IF(AC81=1,"Trùng",IF(AA81&gt;=8,"Bỏ trống "&amp;AA81&amp;" ô","Chọn cùng một mức")))</f>
        <v/>
      </c>
      <c r="AG81" s="23">
        <f>IF($AE81=1,AVERAGE(F81:I81),"")</f>
        <v/>
      </c>
      <c r="AH81" s="23">
        <f>IF($AE81=1,AVERAGE(J81:M81),"")</f>
        <v/>
      </c>
      <c r="AI81" s="23">
        <f>IF($AE81=1,AVERAGE(N81:Q81),"")</f>
        <v/>
      </c>
      <c r="AJ81" s="23">
        <f>IF($AE81=1,AVERAGE(R81:U81),"")</f>
        <v/>
      </c>
      <c r="AK81" s="23">
        <f>IF($AE81=1,AVERAGE(V81:X81),"")</f>
        <v/>
      </c>
    </row>
    <row r="82">
      <c r="A82" s="20" t="n">
        <v>45726.46388888889</v>
      </c>
      <c r="B82" s="21" t="n">
        <v>1</v>
      </c>
      <c r="C82" s="21" t="n">
        <v>2</v>
      </c>
      <c r="D82" s="21" t="n">
        <v>2</v>
      </c>
      <c r="E82" s="21" t="n">
        <v>1</v>
      </c>
      <c r="F82" s="21" t="n">
        <v>4</v>
      </c>
      <c r="G82" s="21" t="n">
        <v>5</v>
      </c>
      <c r="H82" s="21" t="n">
        <v>4</v>
      </c>
      <c r="I82" s="21" t="n">
        <v>5</v>
      </c>
      <c r="J82" s="21" t="n">
        <v>5</v>
      </c>
      <c r="K82" s="21" t="n">
        <v>4</v>
      </c>
      <c r="L82" s="21" t="n">
        <v>4</v>
      </c>
      <c r="M82" s="21" t="n">
        <v>4</v>
      </c>
      <c r="N82" s="21" t="n">
        <v>4</v>
      </c>
      <c r="O82" s="21" t="n">
        <v>3</v>
      </c>
      <c r="P82" s="21" t="n">
        <v>4</v>
      </c>
      <c r="Q82" s="21" t="n">
        <v>4</v>
      </c>
      <c r="R82" s="21" t="n">
        <v>5</v>
      </c>
      <c r="S82" s="21" t="n">
        <v>5</v>
      </c>
      <c r="T82" s="21" t="n">
        <v>5</v>
      </c>
      <c r="U82" s="21" t="n">
        <v>5</v>
      </c>
      <c r="V82" s="21" t="n">
        <v>5</v>
      </c>
      <c r="W82" s="21" t="n">
        <v>5</v>
      </c>
      <c r="X82" s="21" t="n">
        <v>4</v>
      </c>
      <c r="Y82" s="22">
        <f>INT(A82)</f>
        <v/>
      </c>
      <c r="Z82" s="21">
        <f>IF(Y82&lt;DATE(2025,3,6),1,IF(Y82&lt;DATE(2025,3,13),2,3))</f>
        <v/>
      </c>
      <c r="AA82" s="21">
        <f>COUNTBLANK(B82:X82)</f>
        <v/>
      </c>
      <c r="AB82" s="21">
        <f>B82&amp;"|"&amp;C82&amp;"|"&amp;D82&amp;"|"&amp;E82&amp;"|"&amp;F82&amp;"|"&amp;G82&amp;"|"&amp;H82&amp;"|"&amp;I82&amp;"|"&amp;J82&amp;"|"&amp;K82&amp;"|"&amp;L82&amp;"|"&amp;M82&amp;"|"&amp;N82&amp;"|"&amp;O82&amp;"|"&amp;P82&amp;"|"&amp;Q82&amp;"|"&amp;R82&amp;"|"&amp;S82&amp;"|"&amp;T82&amp;"|"&amp;U82&amp;"|"&amp;V82&amp;"|"&amp;W82&amp;"|"&amp;X82</f>
        <v/>
      </c>
      <c r="AC82" s="21">
        <f>IF(COUNTIF($AB$2:AB82,AB82)&gt;1,1,0)</f>
        <v/>
      </c>
      <c r="AD82" s="23">
        <f>STDEV(F82:X82)</f>
        <v/>
      </c>
      <c r="AE82" s="21">
        <f>IF(OR(AA82&gt;=8,AC82=1,AD82=0),0,1)</f>
        <v/>
      </c>
      <c r="AF82" s="21">
        <f>IF(AE82=1,"",IF(AC82=1,"Trùng",IF(AA82&gt;=8,"Bỏ trống "&amp;AA82&amp;" ô","Chọn cùng một mức")))</f>
        <v/>
      </c>
      <c r="AG82" s="23">
        <f>IF($AE82=1,AVERAGE(F82:I82),"")</f>
        <v/>
      </c>
      <c r="AH82" s="23">
        <f>IF($AE82=1,AVERAGE(J82:M82),"")</f>
        <v/>
      </c>
      <c r="AI82" s="23">
        <f>IF($AE82=1,AVERAGE(N82:Q82),"")</f>
        <v/>
      </c>
      <c r="AJ82" s="23">
        <f>IF($AE82=1,AVERAGE(R82:U82),"")</f>
        <v/>
      </c>
      <c r="AK82" s="23">
        <f>IF($AE82=1,AVERAGE(V82:X82),"")</f>
        <v/>
      </c>
    </row>
    <row r="83">
      <c r="A83" s="20" t="n">
        <v>45726.54236111111</v>
      </c>
      <c r="B83" s="21" t="n">
        <v>2</v>
      </c>
      <c r="C83" s="21" t="n">
        <v>2</v>
      </c>
      <c r="D83" s="21" t="n">
        <v>3</v>
      </c>
      <c r="E83" s="21" t="n">
        <v>3</v>
      </c>
      <c r="F83" s="21" t="n">
        <v>4</v>
      </c>
      <c r="G83" s="21" t="n">
        <v>4</v>
      </c>
      <c r="H83" s="21" t="n">
        <v>4</v>
      </c>
      <c r="I83" s="21" t="n">
        <v>4</v>
      </c>
      <c r="J83" s="21" t="n">
        <v>3</v>
      </c>
      <c r="K83" s="21" t="n">
        <v>3</v>
      </c>
      <c r="L83" s="21" t="n">
        <v>3</v>
      </c>
      <c r="M83" s="21" t="n">
        <v>3</v>
      </c>
      <c r="N83" s="21" t="n">
        <v>3</v>
      </c>
      <c r="O83" s="21" t="n">
        <v>3</v>
      </c>
      <c r="P83" s="21" t="n">
        <v>3</v>
      </c>
      <c r="Q83" s="21" t="n">
        <v>4</v>
      </c>
      <c r="R83" s="21" t="n">
        <v>3</v>
      </c>
      <c r="S83" s="21" t="n">
        <v>2</v>
      </c>
      <c r="T83" s="21" t="n">
        <v>2</v>
      </c>
      <c r="U83" s="21" t="n">
        <v>2</v>
      </c>
      <c r="V83" s="21" t="n">
        <v>3</v>
      </c>
      <c r="W83" s="21" t="n">
        <v>3</v>
      </c>
      <c r="X83" s="21" t="n">
        <v>3</v>
      </c>
      <c r="Y83" s="22">
        <f>INT(A83)</f>
        <v/>
      </c>
      <c r="Z83" s="21">
        <f>IF(Y83&lt;DATE(2025,3,6),1,IF(Y83&lt;DATE(2025,3,13),2,3))</f>
        <v/>
      </c>
      <c r="AA83" s="21">
        <f>COUNTBLANK(B83:X83)</f>
        <v/>
      </c>
      <c r="AB83" s="21">
        <f>B83&amp;"|"&amp;C83&amp;"|"&amp;D83&amp;"|"&amp;E83&amp;"|"&amp;F83&amp;"|"&amp;G83&amp;"|"&amp;H83&amp;"|"&amp;I83&amp;"|"&amp;J83&amp;"|"&amp;K83&amp;"|"&amp;L83&amp;"|"&amp;M83&amp;"|"&amp;N83&amp;"|"&amp;O83&amp;"|"&amp;P83&amp;"|"&amp;Q83&amp;"|"&amp;R83&amp;"|"&amp;S83&amp;"|"&amp;T83&amp;"|"&amp;U83&amp;"|"&amp;V83&amp;"|"&amp;W83&amp;"|"&amp;X83</f>
        <v/>
      </c>
      <c r="AC83" s="21">
        <f>IF(COUNTIF($AB$2:AB83,AB83)&gt;1,1,0)</f>
        <v/>
      </c>
      <c r="AD83" s="23">
        <f>STDEV(F83:X83)</f>
        <v/>
      </c>
      <c r="AE83" s="21">
        <f>IF(OR(AA83&gt;=8,AC83=1,AD83=0),0,1)</f>
        <v/>
      </c>
      <c r="AF83" s="21">
        <f>IF(AE83=1,"",IF(AC83=1,"Trùng",IF(AA83&gt;=8,"Bỏ trống "&amp;AA83&amp;" ô","Chọn cùng một mức")))</f>
        <v/>
      </c>
      <c r="AG83" s="23">
        <f>IF($AE83=1,AVERAGE(F83:I83),"")</f>
        <v/>
      </c>
      <c r="AH83" s="23">
        <f>IF($AE83=1,AVERAGE(J83:M83),"")</f>
        <v/>
      </c>
      <c r="AI83" s="23">
        <f>IF($AE83=1,AVERAGE(N83:Q83),"")</f>
        <v/>
      </c>
      <c r="AJ83" s="23">
        <f>IF($AE83=1,AVERAGE(R83:U83),"")</f>
        <v/>
      </c>
      <c r="AK83" s="23">
        <f>IF($AE83=1,AVERAGE(V83:X83),"")</f>
        <v/>
      </c>
    </row>
    <row r="84">
      <c r="A84" s="20" t="n">
        <v>45726.62361111111</v>
      </c>
      <c r="B84" s="21" t="n">
        <v>1</v>
      </c>
      <c r="C84" s="21" t="n">
        <v>2</v>
      </c>
      <c r="D84" s="21" t="n">
        <v>1</v>
      </c>
      <c r="E84" s="21" t="n">
        <v>3</v>
      </c>
      <c r="F84" s="21" t="n">
        <v>4</v>
      </c>
      <c r="G84" s="21" t="n">
        <v>4</v>
      </c>
      <c r="H84" s="21" t="n">
        <v>3</v>
      </c>
      <c r="I84" s="21" t="n">
        <v>4</v>
      </c>
      <c r="J84" s="21" t="n">
        <v>3</v>
      </c>
      <c r="K84" s="21" t="n">
        <v>4</v>
      </c>
      <c r="L84" s="21" t="n">
        <v>4</v>
      </c>
      <c r="M84" s="21" t="n">
        <v>4</v>
      </c>
      <c r="N84" s="21" t="n">
        <v>3</v>
      </c>
      <c r="O84" s="21" t="n">
        <v>3</v>
      </c>
      <c r="P84" s="21" t="n">
        <v>3</v>
      </c>
      <c r="Q84" s="21" t="n">
        <v>3</v>
      </c>
      <c r="R84" s="21" t="n">
        <v>3</v>
      </c>
      <c r="S84" s="21" t="n">
        <v>3</v>
      </c>
      <c r="T84" s="21" t="n">
        <v>4</v>
      </c>
      <c r="U84" s="21" t="n">
        <v>4</v>
      </c>
      <c r="V84" s="21" t="n">
        <v>3</v>
      </c>
      <c r="W84" s="21" t="n">
        <v>4</v>
      </c>
      <c r="X84" s="21" t="n">
        <v>3</v>
      </c>
      <c r="Y84" s="22">
        <f>INT(A84)</f>
        <v/>
      </c>
      <c r="Z84" s="21">
        <f>IF(Y84&lt;DATE(2025,3,6),1,IF(Y84&lt;DATE(2025,3,13),2,3))</f>
        <v/>
      </c>
      <c r="AA84" s="21">
        <f>COUNTBLANK(B84:X84)</f>
        <v/>
      </c>
      <c r="AB84" s="21">
        <f>B84&amp;"|"&amp;C84&amp;"|"&amp;D84&amp;"|"&amp;E84&amp;"|"&amp;F84&amp;"|"&amp;G84&amp;"|"&amp;H84&amp;"|"&amp;I84&amp;"|"&amp;J84&amp;"|"&amp;K84&amp;"|"&amp;L84&amp;"|"&amp;M84&amp;"|"&amp;N84&amp;"|"&amp;O84&amp;"|"&amp;P84&amp;"|"&amp;Q84&amp;"|"&amp;R84&amp;"|"&amp;S84&amp;"|"&amp;T84&amp;"|"&amp;U84&amp;"|"&amp;V84&amp;"|"&amp;W84&amp;"|"&amp;X84</f>
        <v/>
      </c>
      <c r="AC84" s="21">
        <f>IF(COUNTIF($AB$2:AB84,AB84)&gt;1,1,0)</f>
        <v/>
      </c>
      <c r="AD84" s="23">
        <f>STDEV(F84:X84)</f>
        <v/>
      </c>
      <c r="AE84" s="21">
        <f>IF(OR(AA84&gt;=8,AC84=1,AD84=0),0,1)</f>
        <v/>
      </c>
      <c r="AF84" s="21">
        <f>IF(AE84=1,"",IF(AC84=1,"Trùng",IF(AA84&gt;=8,"Bỏ trống "&amp;AA84&amp;" ô","Chọn cùng một mức")))</f>
        <v/>
      </c>
      <c r="AG84" s="23">
        <f>IF($AE84=1,AVERAGE(F84:I84),"")</f>
        <v/>
      </c>
      <c r="AH84" s="23">
        <f>IF($AE84=1,AVERAGE(J84:M84),"")</f>
        <v/>
      </c>
      <c r="AI84" s="23">
        <f>IF($AE84=1,AVERAGE(N84:Q84),"")</f>
        <v/>
      </c>
      <c r="AJ84" s="23">
        <f>IF($AE84=1,AVERAGE(R84:U84),"")</f>
        <v/>
      </c>
      <c r="AK84" s="23">
        <f>IF($AE84=1,AVERAGE(V84:X84),"")</f>
        <v/>
      </c>
    </row>
    <row r="85">
      <c r="A85" s="20" t="n">
        <v>45726.62638888889</v>
      </c>
      <c r="B85" s="21" t="n">
        <v>2</v>
      </c>
      <c r="C85" s="21" t="n">
        <v>2</v>
      </c>
      <c r="D85" s="21" t="n">
        <v>3</v>
      </c>
      <c r="E85" s="21" t="n">
        <v>2</v>
      </c>
      <c r="F85" s="21" t="n">
        <v>3</v>
      </c>
      <c r="G85" s="21" t="n">
        <v>2</v>
      </c>
      <c r="H85" s="21" t="n">
        <v>3</v>
      </c>
      <c r="I85" s="21" t="n">
        <v>3</v>
      </c>
      <c r="J85" s="21" t="n">
        <v>3</v>
      </c>
      <c r="K85" s="21" t="n">
        <v>3</v>
      </c>
      <c r="L85" s="21" t="n">
        <v>3</v>
      </c>
      <c r="M85" s="21" t="n">
        <v>3</v>
      </c>
      <c r="N85" s="21" t="n">
        <v>5</v>
      </c>
      <c r="O85" s="21" t="n">
        <v>4</v>
      </c>
      <c r="P85" s="21" t="n">
        <v>4</v>
      </c>
      <c r="Q85" s="21" t="n">
        <v>5</v>
      </c>
      <c r="R85" s="21" t="n">
        <v>2</v>
      </c>
      <c r="S85" s="21" t="n">
        <v>2</v>
      </c>
      <c r="T85" s="21" t="n">
        <v>2</v>
      </c>
      <c r="U85" s="21" t="n">
        <v>2</v>
      </c>
      <c r="V85" s="21" t="n">
        <v>4</v>
      </c>
      <c r="W85" s="21" t="n">
        <v>4</v>
      </c>
      <c r="X85" s="21" t="n">
        <v>5</v>
      </c>
      <c r="Y85" s="22">
        <f>INT(A85)</f>
        <v/>
      </c>
      <c r="Z85" s="21">
        <f>IF(Y85&lt;DATE(2025,3,6),1,IF(Y85&lt;DATE(2025,3,13),2,3))</f>
        <v/>
      </c>
      <c r="AA85" s="21">
        <f>COUNTBLANK(B85:X85)</f>
        <v/>
      </c>
      <c r="AB85" s="21">
        <f>B85&amp;"|"&amp;C85&amp;"|"&amp;D85&amp;"|"&amp;E85&amp;"|"&amp;F85&amp;"|"&amp;G85&amp;"|"&amp;H85&amp;"|"&amp;I85&amp;"|"&amp;J85&amp;"|"&amp;K85&amp;"|"&amp;L85&amp;"|"&amp;M85&amp;"|"&amp;N85&amp;"|"&amp;O85&amp;"|"&amp;P85&amp;"|"&amp;Q85&amp;"|"&amp;R85&amp;"|"&amp;S85&amp;"|"&amp;T85&amp;"|"&amp;U85&amp;"|"&amp;V85&amp;"|"&amp;W85&amp;"|"&amp;X85</f>
        <v/>
      </c>
      <c r="AC85" s="21">
        <f>IF(COUNTIF($AB$2:AB85,AB85)&gt;1,1,0)</f>
        <v/>
      </c>
      <c r="AD85" s="23">
        <f>STDEV(F85:X85)</f>
        <v/>
      </c>
      <c r="AE85" s="21">
        <f>IF(OR(AA85&gt;=8,AC85=1,AD85=0),0,1)</f>
        <v/>
      </c>
      <c r="AF85" s="21">
        <f>IF(AE85=1,"",IF(AC85=1,"Trùng",IF(AA85&gt;=8,"Bỏ trống "&amp;AA85&amp;" ô","Chọn cùng một mức")))</f>
        <v/>
      </c>
      <c r="AG85" s="23">
        <f>IF($AE85=1,AVERAGE(F85:I85),"")</f>
        <v/>
      </c>
      <c r="AH85" s="23">
        <f>IF($AE85=1,AVERAGE(J85:M85),"")</f>
        <v/>
      </c>
      <c r="AI85" s="23">
        <f>IF($AE85=1,AVERAGE(N85:Q85),"")</f>
        <v/>
      </c>
      <c r="AJ85" s="23">
        <f>IF($AE85=1,AVERAGE(R85:U85),"")</f>
        <v/>
      </c>
      <c r="AK85" s="23">
        <f>IF($AE85=1,AVERAGE(V85:X85),"")</f>
        <v/>
      </c>
    </row>
    <row r="86">
      <c r="A86" s="20" t="n">
        <v>45726.80138888889</v>
      </c>
      <c r="B86" s="21" t="n">
        <v>2</v>
      </c>
      <c r="C86" s="21" t="n">
        <v>2</v>
      </c>
      <c r="D86" s="21" t="n">
        <v>2</v>
      </c>
      <c r="E86" s="21" t="n">
        <v>3</v>
      </c>
      <c r="F86" s="21" t="n">
        <v>3</v>
      </c>
      <c r="G86" s="21" t="n">
        <v>4</v>
      </c>
      <c r="H86" s="21" t="n">
        <v>4</v>
      </c>
      <c r="I86" s="21" t="n">
        <v>5</v>
      </c>
      <c r="J86" s="21" t="n">
        <v>4</v>
      </c>
      <c r="K86" s="21" t="n">
        <v>5</v>
      </c>
      <c r="L86" s="21" t="n">
        <v>5</v>
      </c>
      <c r="M86" s="21" t="n">
        <v>5</v>
      </c>
      <c r="N86" s="21" t="n">
        <v>2</v>
      </c>
      <c r="O86" s="21" t="n">
        <v>3</v>
      </c>
      <c r="P86" s="21" t="n">
        <v>4</v>
      </c>
      <c r="Q86" s="21" t="n">
        <v>3</v>
      </c>
      <c r="R86" s="21" t="n">
        <v>2</v>
      </c>
      <c r="S86" s="21" t="n">
        <v>2</v>
      </c>
      <c r="T86" s="21" t="n">
        <v>4</v>
      </c>
      <c r="U86" s="21" t="n">
        <v>3</v>
      </c>
      <c r="V86" s="21" t="n">
        <v>4</v>
      </c>
      <c r="W86" s="21" t="n">
        <v>4</v>
      </c>
      <c r="X86" s="21" t="n">
        <v>4</v>
      </c>
      <c r="Y86" s="22">
        <f>INT(A86)</f>
        <v/>
      </c>
      <c r="Z86" s="21">
        <f>IF(Y86&lt;DATE(2025,3,6),1,IF(Y86&lt;DATE(2025,3,13),2,3))</f>
        <v/>
      </c>
      <c r="AA86" s="21">
        <f>COUNTBLANK(B86:X86)</f>
        <v/>
      </c>
      <c r="AB86" s="21">
        <f>B86&amp;"|"&amp;C86&amp;"|"&amp;D86&amp;"|"&amp;E86&amp;"|"&amp;F86&amp;"|"&amp;G86&amp;"|"&amp;H86&amp;"|"&amp;I86&amp;"|"&amp;J86&amp;"|"&amp;K86&amp;"|"&amp;L86&amp;"|"&amp;M86&amp;"|"&amp;N86&amp;"|"&amp;O86&amp;"|"&amp;P86&amp;"|"&amp;Q86&amp;"|"&amp;R86&amp;"|"&amp;S86&amp;"|"&amp;T86&amp;"|"&amp;U86&amp;"|"&amp;V86&amp;"|"&amp;W86&amp;"|"&amp;X86</f>
        <v/>
      </c>
      <c r="AC86" s="21">
        <f>IF(COUNTIF($AB$2:AB86,AB86)&gt;1,1,0)</f>
        <v/>
      </c>
      <c r="AD86" s="23">
        <f>STDEV(F86:X86)</f>
        <v/>
      </c>
      <c r="AE86" s="21">
        <f>IF(OR(AA86&gt;=8,AC86=1,AD86=0),0,1)</f>
        <v/>
      </c>
      <c r="AF86" s="21">
        <f>IF(AE86=1,"",IF(AC86=1,"Trùng",IF(AA86&gt;=8,"Bỏ trống "&amp;AA86&amp;" ô","Chọn cùng một mức")))</f>
        <v/>
      </c>
      <c r="AG86" s="23">
        <f>IF($AE86=1,AVERAGE(F86:I86),"")</f>
        <v/>
      </c>
      <c r="AH86" s="23">
        <f>IF($AE86=1,AVERAGE(J86:M86),"")</f>
        <v/>
      </c>
      <c r="AI86" s="23">
        <f>IF($AE86=1,AVERAGE(N86:Q86),"")</f>
        <v/>
      </c>
      <c r="AJ86" s="23">
        <f>IF($AE86=1,AVERAGE(R86:U86),"")</f>
        <v/>
      </c>
      <c r="AK86" s="23">
        <f>IF($AE86=1,AVERAGE(V86:X86),"")</f>
        <v/>
      </c>
    </row>
    <row r="87">
      <c r="A87" s="20" t="n">
        <v>45726.83819444444</v>
      </c>
      <c r="B87" s="21" t="n">
        <v>2</v>
      </c>
      <c r="C87" s="21" t="n">
        <v>3</v>
      </c>
      <c r="D87" s="21" t="n">
        <v>1</v>
      </c>
      <c r="E87" s="21" t="n">
        <v>1</v>
      </c>
      <c r="F87" s="21" t="n">
        <v>4</v>
      </c>
      <c r="G87" s="21" t="n">
        <v>5</v>
      </c>
      <c r="H87" s="21" t="n">
        <v>5</v>
      </c>
      <c r="I87" s="21" t="n">
        <v>4</v>
      </c>
      <c r="J87" s="21" t="n">
        <v>4</v>
      </c>
      <c r="K87" s="21" t="n">
        <v>4</v>
      </c>
      <c r="L87" s="21" t="n">
        <v>4</v>
      </c>
      <c r="M87" s="21" t="n">
        <v>5</v>
      </c>
      <c r="N87" s="21" t="n">
        <v>2</v>
      </c>
      <c r="O87" s="21" t="n">
        <v>3</v>
      </c>
      <c r="P87" s="21" t="n">
        <v>4</v>
      </c>
      <c r="Q87" s="21" t="n">
        <v>2</v>
      </c>
      <c r="R87" s="21" t="n">
        <v>3</v>
      </c>
      <c r="S87" s="21" t="n">
        <v>3</v>
      </c>
      <c r="T87" s="21" t="n">
        <v>4</v>
      </c>
      <c r="U87" s="21" t="n">
        <v>3</v>
      </c>
      <c r="V87" s="21" t="n">
        <v>4</v>
      </c>
      <c r="W87" s="21" t="n">
        <v>4</v>
      </c>
      <c r="X87" s="21" t="n">
        <v>4</v>
      </c>
      <c r="Y87" s="22">
        <f>INT(A87)</f>
        <v/>
      </c>
      <c r="Z87" s="21">
        <f>IF(Y87&lt;DATE(2025,3,6),1,IF(Y87&lt;DATE(2025,3,13),2,3))</f>
        <v/>
      </c>
      <c r="AA87" s="21">
        <f>COUNTBLANK(B87:X87)</f>
        <v/>
      </c>
      <c r="AB87" s="21">
        <f>B87&amp;"|"&amp;C87&amp;"|"&amp;D87&amp;"|"&amp;E87&amp;"|"&amp;F87&amp;"|"&amp;G87&amp;"|"&amp;H87&amp;"|"&amp;I87&amp;"|"&amp;J87&amp;"|"&amp;K87&amp;"|"&amp;L87&amp;"|"&amp;M87&amp;"|"&amp;N87&amp;"|"&amp;O87&amp;"|"&amp;P87&amp;"|"&amp;Q87&amp;"|"&amp;R87&amp;"|"&amp;S87&amp;"|"&amp;T87&amp;"|"&amp;U87&amp;"|"&amp;V87&amp;"|"&amp;W87&amp;"|"&amp;X87</f>
        <v/>
      </c>
      <c r="AC87" s="21">
        <f>IF(COUNTIF($AB$2:AB87,AB87)&gt;1,1,0)</f>
        <v/>
      </c>
      <c r="AD87" s="23">
        <f>STDEV(F87:X87)</f>
        <v/>
      </c>
      <c r="AE87" s="21">
        <f>IF(OR(AA87&gt;=8,AC87=1,AD87=0),0,1)</f>
        <v/>
      </c>
      <c r="AF87" s="21">
        <f>IF(AE87=1,"",IF(AC87=1,"Trùng",IF(AA87&gt;=8,"Bỏ trống "&amp;AA87&amp;" ô","Chọn cùng một mức")))</f>
        <v/>
      </c>
      <c r="AG87" s="23">
        <f>IF($AE87=1,AVERAGE(F87:I87),"")</f>
        <v/>
      </c>
      <c r="AH87" s="23">
        <f>IF($AE87=1,AVERAGE(J87:M87),"")</f>
        <v/>
      </c>
      <c r="AI87" s="23">
        <f>IF($AE87=1,AVERAGE(N87:Q87),"")</f>
        <v/>
      </c>
      <c r="AJ87" s="23">
        <f>IF($AE87=1,AVERAGE(R87:U87),"")</f>
        <v/>
      </c>
      <c r="AK87" s="23">
        <f>IF($AE87=1,AVERAGE(V87:X87),"")</f>
        <v/>
      </c>
    </row>
    <row r="88">
      <c r="A88" s="20" t="n">
        <v>45726.89236111111</v>
      </c>
      <c r="B88" s="21" t="n">
        <v>1</v>
      </c>
      <c r="C88" s="21" t="n">
        <v>3</v>
      </c>
      <c r="D88" s="21" t="n">
        <v>2</v>
      </c>
      <c r="E88" s="21" t="n">
        <v>2</v>
      </c>
      <c r="F88" s="21" t="n">
        <v>3</v>
      </c>
      <c r="G88" s="21" t="n">
        <v>3</v>
      </c>
      <c r="H88" s="21" t="n">
        <v>3</v>
      </c>
      <c r="I88" s="21" t="n">
        <v>3</v>
      </c>
      <c r="J88" s="21" t="n">
        <v>3</v>
      </c>
      <c r="K88" s="21" t="n">
        <v>2</v>
      </c>
      <c r="L88" s="21" t="n">
        <v>3</v>
      </c>
      <c r="M88" s="21" t="n">
        <v>3</v>
      </c>
      <c r="N88" s="21" t="n">
        <v>5</v>
      </c>
      <c r="O88" s="21" t="n">
        <v>4</v>
      </c>
      <c r="P88" s="21" t="n">
        <v>4</v>
      </c>
      <c r="Q88" s="21" t="n">
        <v>3</v>
      </c>
      <c r="R88" s="21" t="n">
        <v>3</v>
      </c>
      <c r="S88" s="21" t="n">
        <v>3</v>
      </c>
      <c r="T88" s="21" t="n">
        <v>2</v>
      </c>
      <c r="U88" s="21" t="n">
        <v>4</v>
      </c>
      <c r="V88" s="21" t="n">
        <v>4</v>
      </c>
      <c r="W88" s="21" t="n">
        <v>3</v>
      </c>
      <c r="X88" s="21" t="n">
        <v>3</v>
      </c>
      <c r="Y88" s="22">
        <f>INT(A88)</f>
        <v/>
      </c>
      <c r="Z88" s="21">
        <f>IF(Y88&lt;DATE(2025,3,6),1,IF(Y88&lt;DATE(2025,3,13),2,3))</f>
        <v/>
      </c>
      <c r="AA88" s="21">
        <f>COUNTBLANK(B88:X88)</f>
        <v/>
      </c>
      <c r="AB88" s="21">
        <f>B88&amp;"|"&amp;C88&amp;"|"&amp;D88&amp;"|"&amp;E88&amp;"|"&amp;F88&amp;"|"&amp;G88&amp;"|"&amp;H88&amp;"|"&amp;I88&amp;"|"&amp;J88&amp;"|"&amp;K88&amp;"|"&amp;L88&amp;"|"&amp;M88&amp;"|"&amp;N88&amp;"|"&amp;O88&amp;"|"&amp;P88&amp;"|"&amp;Q88&amp;"|"&amp;R88&amp;"|"&amp;S88&amp;"|"&amp;T88&amp;"|"&amp;U88&amp;"|"&amp;V88&amp;"|"&amp;W88&amp;"|"&amp;X88</f>
        <v/>
      </c>
      <c r="AC88" s="21">
        <f>IF(COUNTIF($AB$2:AB88,AB88)&gt;1,1,0)</f>
        <v/>
      </c>
      <c r="AD88" s="23">
        <f>STDEV(F88:X88)</f>
        <v/>
      </c>
      <c r="AE88" s="21">
        <f>IF(OR(AA88&gt;=8,AC88=1,AD88=0),0,1)</f>
        <v/>
      </c>
      <c r="AF88" s="21">
        <f>IF(AE88=1,"",IF(AC88=1,"Trùng",IF(AA88&gt;=8,"Bỏ trống "&amp;AA88&amp;" ô","Chọn cùng một mức")))</f>
        <v/>
      </c>
      <c r="AG88" s="23">
        <f>IF($AE88=1,AVERAGE(F88:I88),"")</f>
        <v/>
      </c>
      <c r="AH88" s="23">
        <f>IF($AE88=1,AVERAGE(J88:M88),"")</f>
        <v/>
      </c>
      <c r="AI88" s="23">
        <f>IF($AE88=1,AVERAGE(N88:Q88),"")</f>
        <v/>
      </c>
      <c r="AJ88" s="23">
        <f>IF($AE88=1,AVERAGE(R88:U88),"")</f>
        <v/>
      </c>
      <c r="AK88" s="23">
        <f>IF($AE88=1,AVERAGE(V88:X88),"")</f>
        <v/>
      </c>
    </row>
    <row r="89">
      <c r="A89" s="20" t="n">
        <v>45726.97569444445</v>
      </c>
      <c r="B89" s="21" t="n">
        <v>2</v>
      </c>
      <c r="C89" s="21" t="n">
        <v>1</v>
      </c>
      <c r="D89" s="21" t="n">
        <v>3</v>
      </c>
      <c r="E89" s="21" t="n">
        <v>3</v>
      </c>
      <c r="F89" s="21" t="n">
        <v>4</v>
      </c>
      <c r="G89" s="21" t="n">
        <v>4</v>
      </c>
      <c r="H89" s="21" t="n">
        <v>4</v>
      </c>
      <c r="I89" s="21" t="n">
        <v>4</v>
      </c>
      <c r="J89" s="21" t="n">
        <v>4</v>
      </c>
      <c r="K89" s="21" t="n">
        <v>3</v>
      </c>
      <c r="L89" s="21" t="n">
        <v>4</v>
      </c>
      <c r="M89" s="21" t="n">
        <v>3</v>
      </c>
      <c r="N89" s="21" t="n">
        <v>3</v>
      </c>
      <c r="O89" s="21" t="n">
        <v>4</v>
      </c>
      <c r="P89" s="21" t="n">
        <v>5</v>
      </c>
      <c r="Q89" s="21" t="n">
        <v>4</v>
      </c>
      <c r="R89" s="21" t="n">
        <v>3</v>
      </c>
      <c r="S89" s="21" t="n">
        <v>3</v>
      </c>
      <c r="T89" s="21" t="n">
        <v>3</v>
      </c>
      <c r="U89" s="21" t="n">
        <v>5</v>
      </c>
      <c r="V89" s="21" t="n">
        <v>4</v>
      </c>
      <c r="W89" s="21" t="n">
        <v>5</v>
      </c>
      <c r="X89" s="21" t="n">
        <v>4</v>
      </c>
      <c r="Y89" s="22">
        <f>INT(A89)</f>
        <v/>
      </c>
      <c r="Z89" s="21">
        <f>IF(Y89&lt;DATE(2025,3,6),1,IF(Y89&lt;DATE(2025,3,13),2,3))</f>
        <v/>
      </c>
      <c r="AA89" s="21">
        <f>COUNTBLANK(B89:X89)</f>
        <v/>
      </c>
      <c r="AB89" s="21">
        <f>B89&amp;"|"&amp;C89&amp;"|"&amp;D89&amp;"|"&amp;E89&amp;"|"&amp;F89&amp;"|"&amp;G89&amp;"|"&amp;H89&amp;"|"&amp;I89&amp;"|"&amp;J89&amp;"|"&amp;K89&amp;"|"&amp;L89&amp;"|"&amp;M89&amp;"|"&amp;N89&amp;"|"&amp;O89&amp;"|"&amp;P89&amp;"|"&amp;Q89&amp;"|"&amp;R89&amp;"|"&amp;S89&amp;"|"&amp;T89&amp;"|"&amp;U89&amp;"|"&amp;V89&amp;"|"&amp;W89&amp;"|"&amp;X89</f>
        <v/>
      </c>
      <c r="AC89" s="21">
        <f>IF(COUNTIF($AB$2:AB89,AB89)&gt;1,1,0)</f>
        <v/>
      </c>
      <c r="AD89" s="23">
        <f>STDEV(F89:X89)</f>
        <v/>
      </c>
      <c r="AE89" s="21">
        <f>IF(OR(AA89&gt;=8,AC89=1,AD89=0),0,1)</f>
        <v/>
      </c>
      <c r="AF89" s="21">
        <f>IF(AE89=1,"",IF(AC89=1,"Trùng",IF(AA89&gt;=8,"Bỏ trống "&amp;AA89&amp;" ô","Chọn cùng một mức")))</f>
        <v/>
      </c>
      <c r="AG89" s="23">
        <f>IF($AE89=1,AVERAGE(F89:I89),"")</f>
        <v/>
      </c>
      <c r="AH89" s="23">
        <f>IF($AE89=1,AVERAGE(J89:M89),"")</f>
        <v/>
      </c>
      <c r="AI89" s="23">
        <f>IF($AE89=1,AVERAGE(N89:Q89),"")</f>
        <v/>
      </c>
      <c r="AJ89" s="23">
        <f>IF($AE89=1,AVERAGE(R89:U89),"")</f>
        <v/>
      </c>
      <c r="AK89" s="23">
        <f>IF($AE89=1,AVERAGE(V89:X89),"")</f>
        <v/>
      </c>
    </row>
    <row r="90">
      <c r="A90" s="20" t="n">
        <v>45727.04236111111</v>
      </c>
      <c r="B90" s="21" t="n">
        <v>1</v>
      </c>
      <c r="C90" s="21" t="n">
        <v>1</v>
      </c>
      <c r="D90" s="21" t="n">
        <v>2</v>
      </c>
      <c r="E90" s="21" t="n">
        <v>3</v>
      </c>
      <c r="F90" s="21" t="n">
        <v>3</v>
      </c>
      <c r="G90" s="21" t="n">
        <v>4</v>
      </c>
      <c r="H90" s="21" t="n">
        <v>2</v>
      </c>
      <c r="I90" s="21" t="n">
        <v>3</v>
      </c>
      <c r="J90" s="21" t="n">
        <v>5</v>
      </c>
      <c r="K90" s="21" t="n">
        <v>4</v>
      </c>
      <c r="L90" s="21" t="n">
        <v>4</v>
      </c>
      <c r="M90" s="21" t="n">
        <v>4</v>
      </c>
      <c r="N90" s="21" t="n">
        <v>4</v>
      </c>
      <c r="O90" s="21" t="n">
        <v>4</v>
      </c>
      <c r="P90" s="21" t="n">
        <v>4</v>
      </c>
      <c r="Q90" s="21" t="n">
        <v>3</v>
      </c>
      <c r="R90" s="21" t="n">
        <v>3</v>
      </c>
      <c r="S90" s="21" t="n">
        <v>4</v>
      </c>
      <c r="T90" s="21" t="n">
        <v>4</v>
      </c>
      <c r="U90" s="21" t="n">
        <v>4</v>
      </c>
      <c r="V90" s="21" t="n">
        <v>5</v>
      </c>
      <c r="W90" s="21" t="n">
        <v>4</v>
      </c>
      <c r="X90" s="21" t="n">
        <v>3</v>
      </c>
      <c r="Y90" s="22">
        <f>INT(A90)</f>
        <v/>
      </c>
      <c r="Z90" s="21">
        <f>IF(Y90&lt;DATE(2025,3,6),1,IF(Y90&lt;DATE(2025,3,13),2,3))</f>
        <v/>
      </c>
      <c r="AA90" s="21">
        <f>COUNTBLANK(B90:X90)</f>
        <v/>
      </c>
      <c r="AB90" s="21">
        <f>B90&amp;"|"&amp;C90&amp;"|"&amp;D90&amp;"|"&amp;E90&amp;"|"&amp;F90&amp;"|"&amp;G90&amp;"|"&amp;H90&amp;"|"&amp;I90&amp;"|"&amp;J90&amp;"|"&amp;K90&amp;"|"&amp;L90&amp;"|"&amp;M90&amp;"|"&amp;N90&amp;"|"&amp;O90&amp;"|"&amp;P90&amp;"|"&amp;Q90&amp;"|"&amp;R90&amp;"|"&amp;S90&amp;"|"&amp;T90&amp;"|"&amp;U90&amp;"|"&amp;V90&amp;"|"&amp;W90&amp;"|"&amp;X90</f>
        <v/>
      </c>
      <c r="AC90" s="21">
        <f>IF(COUNTIF($AB$2:AB90,AB90)&gt;1,1,0)</f>
        <v/>
      </c>
      <c r="AD90" s="23">
        <f>STDEV(F90:X90)</f>
        <v/>
      </c>
      <c r="AE90" s="21">
        <f>IF(OR(AA90&gt;=8,AC90=1,AD90=0),0,1)</f>
        <v/>
      </c>
      <c r="AF90" s="21">
        <f>IF(AE90=1,"",IF(AC90=1,"Trùng",IF(AA90&gt;=8,"Bỏ trống "&amp;AA90&amp;" ô","Chọn cùng một mức")))</f>
        <v/>
      </c>
      <c r="AG90" s="23">
        <f>IF($AE90=1,AVERAGE(F90:I90),"")</f>
        <v/>
      </c>
      <c r="AH90" s="23">
        <f>IF($AE90=1,AVERAGE(J90:M90),"")</f>
        <v/>
      </c>
      <c r="AI90" s="23">
        <f>IF($AE90=1,AVERAGE(N90:Q90),"")</f>
        <v/>
      </c>
      <c r="AJ90" s="23">
        <f>IF($AE90=1,AVERAGE(R90:U90),"")</f>
        <v/>
      </c>
      <c r="AK90" s="23">
        <f>IF($AE90=1,AVERAGE(V90:X90),"")</f>
        <v/>
      </c>
    </row>
    <row r="91">
      <c r="A91" s="20" t="n">
        <v>45727.04305555556</v>
      </c>
      <c r="B91" s="21" t="n">
        <v>1</v>
      </c>
      <c r="C91" s="21" t="n">
        <v>2</v>
      </c>
      <c r="D91" s="21" t="n">
        <v>2</v>
      </c>
      <c r="E91" s="21" t="n">
        <v>2</v>
      </c>
      <c r="F91" s="21" t="n">
        <v>4</v>
      </c>
      <c r="G91" s="21" t="n">
        <v>3</v>
      </c>
      <c r="H91" s="21" t="n">
        <v>3</v>
      </c>
      <c r="I91" s="21" t="n">
        <v>4</v>
      </c>
      <c r="J91" s="21" t="n">
        <v>4</v>
      </c>
      <c r="K91" s="21" t="n">
        <v>4</v>
      </c>
      <c r="L91" s="21" t="n">
        <v>5</v>
      </c>
      <c r="M91" s="21" t="n">
        <v>4</v>
      </c>
      <c r="N91" s="21" t="n">
        <v>3</v>
      </c>
      <c r="O91" s="21" t="n">
        <v>3</v>
      </c>
      <c r="P91" s="21" t="n">
        <v>3</v>
      </c>
      <c r="Q91" s="21" t="n">
        <v>2</v>
      </c>
      <c r="R91" s="21" t="n">
        <v>2</v>
      </c>
      <c r="S91" s="21" t="n">
        <v>4</v>
      </c>
      <c r="T91" s="21" t="n">
        <v>3</v>
      </c>
      <c r="U91" s="21" t="n">
        <v>4</v>
      </c>
      <c r="V91" s="21" t="n">
        <v>3</v>
      </c>
      <c r="W91" s="21" t="n">
        <v>4</v>
      </c>
      <c r="X91" s="21" t="n">
        <v>3</v>
      </c>
      <c r="Y91" s="22">
        <f>INT(A91)</f>
        <v/>
      </c>
      <c r="Z91" s="21">
        <f>IF(Y91&lt;DATE(2025,3,6),1,IF(Y91&lt;DATE(2025,3,13),2,3))</f>
        <v/>
      </c>
      <c r="AA91" s="21">
        <f>COUNTBLANK(B91:X91)</f>
        <v/>
      </c>
      <c r="AB91" s="21">
        <f>B91&amp;"|"&amp;C91&amp;"|"&amp;D91&amp;"|"&amp;E91&amp;"|"&amp;F91&amp;"|"&amp;G91&amp;"|"&amp;H91&amp;"|"&amp;I91&amp;"|"&amp;J91&amp;"|"&amp;K91&amp;"|"&amp;L91&amp;"|"&amp;M91&amp;"|"&amp;N91&amp;"|"&amp;O91&amp;"|"&amp;P91&amp;"|"&amp;Q91&amp;"|"&amp;R91&amp;"|"&amp;S91&amp;"|"&amp;T91&amp;"|"&amp;U91&amp;"|"&amp;V91&amp;"|"&amp;W91&amp;"|"&amp;X91</f>
        <v/>
      </c>
      <c r="AC91" s="21">
        <f>IF(COUNTIF($AB$2:AB91,AB91)&gt;1,1,0)</f>
        <v/>
      </c>
      <c r="AD91" s="23">
        <f>STDEV(F91:X91)</f>
        <v/>
      </c>
      <c r="AE91" s="21">
        <f>IF(OR(AA91&gt;=8,AC91=1,AD91=0),0,1)</f>
        <v/>
      </c>
      <c r="AF91" s="21">
        <f>IF(AE91=1,"",IF(AC91=1,"Trùng",IF(AA91&gt;=8,"Bỏ trống "&amp;AA91&amp;" ô","Chọn cùng một mức")))</f>
        <v/>
      </c>
      <c r="AG91" s="23">
        <f>IF($AE91=1,AVERAGE(F91:I91),"")</f>
        <v/>
      </c>
      <c r="AH91" s="23">
        <f>IF($AE91=1,AVERAGE(J91:M91),"")</f>
        <v/>
      </c>
      <c r="AI91" s="23">
        <f>IF($AE91=1,AVERAGE(N91:Q91),"")</f>
        <v/>
      </c>
      <c r="AJ91" s="23">
        <f>IF($AE91=1,AVERAGE(R91:U91),"")</f>
        <v/>
      </c>
      <c r="AK91" s="23">
        <f>IF($AE91=1,AVERAGE(V91:X91),"")</f>
        <v/>
      </c>
    </row>
    <row r="92">
      <c r="A92" s="20" t="n">
        <v>45727.14583333334</v>
      </c>
      <c r="B92" s="21" t="n">
        <v>2</v>
      </c>
      <c r="C92" s="21" t="n">
        <v>4</v>
      </c>
      <c r="D92" s="21" t="n">
        <v>2</v>
      </c>
      <c r="E92" s="21" t="n">
        <v>2</v>
      </c>
      <c r="F92" s="21" t="n">
        <v>3</v>
      </c>
      <c r="G92" s="21" t="n">
        <v>2</v>
      </c>
      <c r="H92" s="21" t="n">
        <v>3</v>
      </c>
      <c r="I92" s="21" t="n">
        <v>3</v>
      </c>
      <c r="J92" s="21" t="n">
        <v>5</v>
      </c>
      <c r="K92" s="21" t="n">
        <v>3</v>
      </c>
      <c r="L92" s="21" t="n">
        <v>3</v>
      </c>
      <c r="M92" s="21" t="n">
        <v>4</v>
      </c>
      <c r="N92" s="21" t="n">
        <v>3</v>
      </c>
      <c r="O92" s="21" t="n">
        <v>1</v>
      </c>
      <c r="P92" s="21" t="n">
        <v>2</v>
      </c>
      <c r="Q92" s="21" t="n">
        <v>3</v>
      </c>
      <c r="R92" s="21" t="n">
        <v>2</v>
      </c>
      <c r="S92" s="21" t="n">
        <v>4</v>
      </c>
      <c r="T92" s="21" t="n">
        <v>3</v>
      </c>
      <c r="U92" s="21" t="n">
        <v>3</v>
      </c>
      <c r="V92" s="21" t="n">
        <v>3</v>
      </c>
      <c r="W92" s="21" t="n">
        <v>3</v>
      </c>
      <c r="X92" s="21" t="n">
        <v>3</v>
      </c>
      <c r="Y92" s="22">
        <f>INT(A92)</f>
        <v/>
      </c>
      <c r="Z92" s="21">
        <f>IF(Y92&lt;DATE(2025,3,6),1,IF(Y92&lt;DATE(2025,3,13),2,3))</f>
        <v/>
      </c>
      <c r="AA92" s="21">
        <f>COUNTBLANK(B92:X92)</f>
        <v/>
      </c>
      <c r="AB92" s="21">
        <f>B92&amp;"|"&amp;C92&amp;"|"&amp;D92&amp;"|"&amp;E92&amp;"|"&amp;F92&amp;"|"&amp;G92&amp;"|"&amp;H92&amp;"|"&amp;I92&amp;"|"&amp;J92&amp;"|"&amp;K92&amp;"|"&amp;L92&amp;"|"&amp;M92&amp;"|"&amp;N92&amp;"|"&amp;O92&amp;"|"&amp;P92&amp;"|"&amp;Q92&amp;"|"&amp;R92&amp;"|"&amp;S92&amp;"|"&amp;T92&amp;"|"&amp;U92&amp;"|"&amp;V92&amp;"|"&amp;W92&amp;"|"&amp;X92</f>
        <v/>
      </c>
      <c r="AC92" s="21">
        <f>IF(COUNTIF($AB$2:AB92,AB92)&gt;1,1,0)</f>
        <v/>
      </c>
      <c r="AD92" s="23">
        <f>STDEV(F92:X92)</f>
        <v/>
      </c>
      <c r="AE92" s="21">
        <f>IF(OR(AA92&gt;=8,AC92=1,AD92=0),0,1)</f>
        <v/>
      </c>
      <c r="AF92" s="21">
        <f>IF(AE92=1,"",IF(AC92=1,"Trùng",IF(AA92&gt;=8,"Bỏ trống "&amp;AA92&amp;" ô","Chọn cùng một mức")))</f>
        <v/>
      </c>
      <c r="AG92" s="23">
        <f>IF($AE92=1,AVERAGE(F92:I92),"")</f>
        <v/>
      </c>
      <c r="AH92" s="23">
        <f>IF($AE92=1,AVERAGE(J92:M92),"")</f>
        <v/>
      </c>
      <c r="AI92" s="23">
        <f>IF($AE92=1,AVERAGE(N92:Q92),"")</f>
        <v/>
      </c>
      <c r="AJ92" s="23">
        <f>IF($AE92=1,AVERAGE(R92:U92),"")</f>
        <v/>
      </c>
      <c r="AK92" s="23">
        <f>IF($AE92=1,AVERAGE(V92:X92),"")</f>
        <v/>
      </c>
    </row>
    <row r="93">
      <c r="A93" s="20" t="n">
        <v>45727.32708333333</v>
      </c>
      <c r="B93" s="21" t="n">
        <v>1</v>
      </c>
      <c r="C93" s="21" t="n">
        <v>2</v>
      </c>
      <c r="D93" s="21" t="n">
        <v>1</v>
      </c>
      <c r="E93" s="21" t="n">
        <v>1</v>
      </c>
      <c r="F93" s="21" t="n">
        <v>4</v>
      </c>
      <c r="G93" s="21" t="n">
        <v>4</v>
      </c>
      <c r="H93" s="21" t="n">
        <v>4</v>
      </c>
      <c r="I93" s="21" t="n">
        <v>4</v>
      </c>
      <c r="J93" s="21" t="n">
        <v>5</v>
      </c>
      <c r="K93" s="21" t="n">
        <v>5</v>
      </c>
      <c r="L93" s="21" t="n">
        <v>5</v>
      </c>
      <c r="M93" s="21" t="n">
        <v>4</v>
      </c>
      <c r="N93" s="21" t="n">
        <v>4</v>
      </c>
      <c r="O93" s="21" t="n">
        <v>5</v>
      </c>
      <c r="P93" s="21" t="n">
        <v>4</v>
      </c>
      <c r="Q93" s="21" t="n">
        <v>4</v>
      </c>
      <c r="R93" s="21" t="n">
        <v>5</v>
      </c>
      <c r="S93" s="21" t="n">
        <v>4</v>
      </c>
      <c r="T93" s="21" t="n">
        <v>5</v>
      </c>
      <c r="U93" s="21" t="n">
        <v>4</v>
      </c>
      <c r="V93" s="21" t="n">
        <v>5</v>
      </c>
      <c r="W93" s="21" t="n">
        <v>5</v>
      </c>
      <c r="X93" s="21" t="n">
        <v>5</v>
      </c>
      <c r="Y93" s="22">
        <f>INT(A93)</f>
        <v/>
      </c>
      <c r="Z93" s="21">
        <f>IF(Y93&lt;DATE(2025,3,6),1,IF(Y93&lt;DATE(2025,3,13),2,3))</f>
        <v/>
      </c>
      <c r="AA93" s="21">
        <f>COUNTBLANK(B93:X93)</f>
        <v/>
      </c>
      <c r="AB93" s="21">
        <f>B93&amp;"|"&amp;C93&amp;"|"&amp;D93&amp;"|"&amp;E93&amp;"|"&amp;F93&amp;"|"&amp;G93&amp;"|"&amp;H93&amp;"|"&amp;I93&amp;"|"&amp;J93&amp;"|"&amp;K93&amp;"|"&amp;L93&amp;"|"&amp;M93&amp;"|"&amp;N93&amp;"|"&amp;O93&amp;"|"&amp;P93&amp;"|"&amp;Q93&amp;"|"&amp;R93&amp;"|"&amp;S93&amp;"|"&amp;T93&amp;"|"&amp;U93&amp;"|"&amp;V93&amp;"|"&amp;W93&amp;"|"&amp;X93</f>
        <v/>
      </c>
      <c r="AC93" s="21">
        <f>IF(COUNTIF($AB$2:AB93,AB93)&gt;1,1,0)</f>
        <v/>
      </c>
      <c r="AD93" s="23">
        <f>STDEV(F93:X93)</f>
        <v/>
      </c>
      <c r="AE93" s="21">
        <f>IF(OR(AA93&gt;=8,AC93=1,AD93=0),0,1)</f>
        <v/>
      </c>
      <c r="AF93" s="21">
        <f>IF(AE93=1,"",IF(AC93=1,"Trùng",IF(AA93&gt;=8,"Bỏ trống "&amp;AA93&amp;" ô","Chọn cùng một mức")))</f>
        <v/>
      </c>
      <c r="AG93" s="23">
        <f>IF($AE93=1,AVERAGE(F93:I93),"")</f>
        <v/>
      </c>
      <c r="AH93" s="23">
        <f>IF($AE93=1,AVERAGE(J93:M93),"")</f>
        <v/>
      </c>
      <c r="AI93" s="23">
        <f>IF($AE93=1,AVERAGE(N93:Q93),"")</f>
        <v/>
      </c>
      <c r="AJ93" s="23">
        <f>IF($AE93=1,AVERAGE(R93:U93),"")</f>
        <v/>
      </c>
      <c r="AK93" s="23">
        <f>IF($AE93=1,AVERAGE(V93:X93),"")</f>
        <v/>
      </c>
    </row>
    <row r="94">
      <c r="A94" s="20" t="n">
        <v>45727.72638888889</v>
      </c>
      <c r="B94" s="21" t="n">
        <v>1</v>
      </c>
      <c r="C94" s="21" t="n">
        <v>1</v>
      </c>
      <c r="D94" s="21" t="n">
        <v>2</v>
      </c>
      <c r="E94" s="21" t="n">
        <v>2</v>
      </c>
      <c r="F94" s="21" t="n">
        <v>3</v>
      </c>
      <c r="G94" s="21" t="n">
        <v>4</v>
      </c>
      <c r="H94" s="21" t="n">
        <v>4</v>
      </c>
      <c r="I94" s="21" t="n">
        <v>3</v>
      </c>
      <c r="J94" s="21" t="n">
        <v>4</v>
      </c>
      <c r="K94" s="21" t="n">
        <v>4</v>
      </c>
      <c r="L94" s="21" t="n">
        <v>5</v>
      </c>
      <c r="M94" s="21" t="n">
        <v>5</v>
      </c>
      <c r="N94" s="21" t="n">
        <v>3</v>
      </c>
      <c r="O94" s="21" t="n">
        <v>4</v>
      </c>
      <c r="P94" s="21" t="n">
        <v>2</v>
      </c>
      <c r="Q94" s="21" t="n">
        <v>3</v>
      </c>
      <c r="R94" s="21" t="n">
        <v>3</v>
      </c>
      <c r="S94" s="21" t="n">
        <v>4</v>
      </c>
      <c r="T94" s="21" t="n">
        <v>4</v>
      </c>
      <c r="U94" s="21" t="n">
        <v>3</v>
      </c>
      <c r="V94" s="21" t="n">
        <v>4</v>
      </c>
      <c r="W94" s="21" t="n">
        <v>5</v>
      </c>
      <c r="X94" s="21" t="n">
        <v>3</v>
      </c>
      <c r="Y94" s="22">
        <f>INT(A94)</f>
        <v/>
      </c>
      <c r="Z94" s="21">
        <f>IF(Y94&lt;DATE(2025,3,6),1,IF(Y94&lt;DATE(2025,3,13),2,3))</f>
        <v/>
      </c>
      <c r="AA94" s="21">
        <f>COUNTBLANK(B94:X94)</f>
        <v/>
      </c>
      <c r="AB94" s="21">
        <f>B94&amp;"|"&amp;C94&amp;"|"&amp;D94&amp;"|"&amp;E94&amp;"|"&amp;F94&amp;"|"&amp;G94&amp;"|"&amp;H94&amp;"|"&amp;I94&amp;"|"&amp;J94&amp;"|"&amp;K94&amp;"|"&amp;L94&amp;"|"&amp;M94&amp;"|"&amp;N94&amp;"|"&amp;O94&amp;"|"&amp;P94&amp;"|"&amp;Q94&amp;"|"&amp;R94&amp;"|"&amp;S94&amp;"|"&amp;T94&amp;"|"&amp;U94&amp;"|"&amp;V94&amp;"|"&amp;W94&amp;"|"&amp;X94</f>
        <v/>
      </c>
      <c r="AC94" s="21">
        <f>IF(COUNTIF($AB$2:AB94,AB94)&gt;1,1,0)</f>
        <v/>
      </c>
      <c r="AD94" s="23">
        <f>STDEV(F94:X94)</f>
        <v/>
      </c>
      <c r="AE94" s="21">
        <f>IF(OR(AA94&gt;=8,AC94=1,AD94=0),0,1)</f>
        <v/>
      </c>
      <c r="AF94" s="21">
        <f>IF(AE94=1,"",IF(AC94=1,"Trùng",IF(AA94&gt;=8,"Bỏ trống "&amp;AA94&amp;" ô","Chọn cùng một mức")))</f>
        <v/>
      </c>
      <c r="AG94" s="23">
        <f>IF($AE94=1,AVERAGE(F94:I94),"")</f>
        <v/>
      </c>
      <c r="AH94" s="23">
        <f>IF($AE94=1,AVERAGE(J94:M94),"")</f>
        <v/>
      </c>
      <c r="AI94" s="23">
        <f>IF($AE94=1,AVERAGE(N94:Q94),"")</f>
        <v/>
      </c>
      <c r="AJ94" s="23">
        <f>IF($AE94=1,AVERAGE(R94:U94),"")</f>
        <v/>
      </c>
      <c r="AK94" s="23">
        <f>IF($AE94=1,AVERAGE(V94:X94),"")</f>
        <v/>
      </c>
    </row>
    <row r="95">
      <c r="A95" s="20" t="n">
        <v>45727.77569444444</v>
      </c>
      <c r="B95" s="21" t="n">
        <v>1</v>
      </c>
      <c r="C95" s="21" t="n">
        <v>2</v>
      </c>
      <c r="D95" s="21" t="n">
        <v>1</v>
      </c>
      <c r="E95" s="21" t="n">
        <v>2</v>
      </c>
      <c r="F95" s="21" t="n">
        <v>5</v>
      </c>
      <c r="G95" s="21" t="n">
        <v>4</v>
      </c>
      <c r="H95" s="21" t="n">
        <v>4</v>
      </c>
      <c r="I95" s="21" t="n">
        <v>3</v>
      </c>
      <c r="J95" s="21" t="n">
        <v>3</v>
      </c>
      <c r="K95" s="21" t="n">
        <v>4</v>
      </c>
      <c r="L95" s="21" t="n">
        <v>2</v>
      </c>
      <c r="M95" s="21" t="n">
        <v>3</v>
      </c>
      <c r="N95" s="21" t="n">
        <v>4</v>
      </c>
      <c r="O95" s="21" t="n">
        <v>4</v>
      </c>
      <c r="P95" s="21" t="n">
        <v>4</v>
      </c>
      <c r="Q95" s="21" t="n">
        <v>4</v>
      </c>
      <c r="R95" s="21" t="n">
        <v>4</v>
      </c>
      <c r="S95" s="21" t="n">
        <v>3</v>
      </c>
      <c r="T95" s="21" t="n">
        <v>4</v>
      </c>
      <c r="U95" s="21" t="n">
        <v>3</v>
      </c>
      <c r="V95" s="21" t="n">
        <v>3</v>
      </c>
      <c r="W95" s="21" t="n">
        <v>4</v>
      </c>
      <c r="X95" s="21" t="n">
        <v>3</v>
      </c>
      <c r="Y95" s="22">
        <f>INT(A95)</f>
        <v/>
      </c>
      <c r="Z95" s="21">
        <f>IF(Y95&lt;DATE(2025,3,6),1,IF(Y95&lt;DATE(2025,3,13),2,3))</f>
        <v/>
      </c>
      <c r="AA95" s="21">
        <f>COUNTBLANK(B95:X95)</f>
        <v/>
      </c>
      <c r="AB95" s="21">
        <f>B95&amp;"|"&amp;C95&amp;"|"&amp;D95&amp;"|"&amp;E95&amp;"|"&amp;F95&amp;"|"&amp;G95&amp;"|"&amp;H95&amp;"|"&amp;I95&amp;"|"&amp;J95&amp;"|"&amp;K95&amp;"|"&amp;L95&amp;"|"&amp;M95&amp;"|"&amp;N95&amp;"|"&amp;O95&amp;"|"&amp;P95&amp;"|"&amp;Q95&amp;"|"&amp;R95&amp;"|"&amp;S95&amp;"|"&amp;T95&amp;"|"&amp;U95&amp;"|"&amp;V95&amp;"|"&amp;W95&amp;"|"&amp;X95</f>
        <v/>
      </c>
      <c r="AC95" s="21">
        <f>IF(COUNTIF($AB$2:AB95,AB95)&gt;1,1,0)</f>
        <v/>
      </c>
      <c r="AD95" s="23">
        <f>STDEV(F95:X95)</f>
        <v/>
      </c>
      <c r="AE95" s="21">
        <f>IF(OR(AA95&gt;=8,AC95=1,AD95=0),0,1)</f>
        <v/>
      </c>
      <c r="AF95" s="21">
        <f>IF(AE95=1,"",IF(AC95=1,"Trùng",IF(AA95&gt;=8,"Bỏ trống "&amp;AA95&amp;" ô","Chọn cùng một mức")))</f>
        <v/>
      </c>
      <c r="AG95" s="23">
        <f>IF($AE95=1,AVERAGE(F95:I95),"")</f>
        <v/>
      </c>
      <c r="AH95" s="23">
        <f>IF($AE95=1,AVERAGE(J95:M95),"")</f>
        <v/>
      </c>
      <c r="AI95" s="23">
        <f>IF($AE95=1,AVERAGE(N95:Q95),"")</f>
        <v/>
      </c>
      <c r="AJ95" s="23">
        <f>IF($AE95=1,AVERAGE(R95:U95),"")</f>
        <v/>
      </c>
      <c r="AK95" s="23">
        <f>IF($AE95=1,AVERAGE(V95:X95),"")</f>
        <v/>
      </c>
    </row>
    <row r="96">
      <c r="A96" s="20" t="n">
        <v>45727.88333333333</v>
      </c>
      <c r="B96" s="21" t="n">
        <v>2</v>
      </c>
      <c r="C96" s="21" t="n">
        <v>3</v>
      </c>
      <c r="D96" s="21" t="n">
        <v>2</v>
      </c>
      <c r="E96" s="21" t="n">
        <v>1</v>
      </c>
      <c r="F96" s="21" t="n">
        <v>3</v>
      </c>
      <c r="G96" s="21" t="n">
        <v>2</v>
      </c>
      <c r="H96" s="21" t="n">
        <v>5</v>
      </c>
      <c r="I96" s="21" t="n">
        <v>5</v>
      </c>
      <c r="J96" s="21" t="n">
        <v>4</v>
      </c>
      <c r="K96" s="21" t="n">
        <v>4</v>
      </c>
      <c r="L96" s="21" t="n">
        <v>4</v>
      </c>
      <c r="M96" s="21" t="n">
        <v>4</v>
      </c>
      <c r="N96" s="21" t="n">
        <v>3</v>
      </c>
      <c r="O96" s="21" t="n">
        <v>5</v>
      </c>
      <c r="P96" s="21" t="n">
        <v>3</v>
      </c>
      <c r="Q96" s="21" t="n">
        <v>4</v>
      </c>
      <c r="R96" s="21" t="n">
        <v>3</v>
      </c>
      <c r="S96" s="21" t="n">
        <v>4</v>
      </c>
      <c r="T96" s="21" t="n">
        <v>2</v>
      </c>
      <c r="U96" s="21" t="n">
        <v>3</v>
      </c>
      <c r="V96" s="21" t="n">
        <v>4</v>
      </c>
      <c r="W96" s="21" t="n">
        <v>3</v>
      </c>
      <c r="X96" s="21" t="n">
        <v>4</v>
      </c>
      <c r="Y96" s="22">
        <f>INT(A96)</f>
        <v/>
      </c>
      <c r="Z96" s="21">
        <f>IF(Y96&lt;DATE(2025,3,6),1,IF(Y96&lt;DATE(2025,3,13),2,3))</f>
        <v/>
      </c>
      <c r="AA96" s="21">
        <f>COUNTBLANK(B96:X96)</f>
        <v/>
      </c>
      <c r="AB96" s="21">
        <f>B96&amp;"|"&amp;C96&amp;"|"&amp;D96&amp;"|"&amp;E96&amp;"|"&amp;F96&amp;"|"&amp;G96&amp;"|"&amp;H96&amp;"|"&amp;I96&amp;"|"&amp;J96&amp;"|"&amp;K96&amp;"|"&amp;L96&amp;"|"&amp;M96&amp;"|"&amp;N96&amp;"|"&amp;O96&amp;"|"&amp;P96&amp;"|"&amp;Q96&amp;"|"&amp;R96&amp;"|"&amp;S96&amp;"|"&amp;T96&amp;"|"&amp;U96&amp;"|"&amp;V96&amp;"|"&amp;W96&amp;"|"&amp;X96</f>
        <v/>
      </c>
      <c r="AC96" s="21">
        <f>IF(COUNTIF($AB$2:AB96,AB96)&gt;1,1,0)</f>
        <v/>
      </c>
      <c r="AD96" s="23">
        <f>STDEV(F96:X96)</f>
        <v/>
      </c>
      <c r="AE96" s="21">
        <f>IF(OR(AA96&gt;=8,AC96=1,AD96=0),0,1)</f>
        <v/>
      </c>
      <c r="AF96" s="21">
        <f>IF(AE96=1,"",IF(AC96=1,"Trùng",IF(AA96&gt;=8,"Bỏ trống "&amp;AA96&amp;" ô","Chọn cùng một mức")))</f>
        <v/>
      </c>
      <c r="AG96" s="23">
        <f>IF($AE96=1,AVERAGE(F96:I96),"")</f>
        <v/>
      </c>
      <c r="AH96" s="23">
        <f>IF($AE96=1,AVERAGE(J96:M96),"")</f>
        <v/>
      </c>
      <c r="AI96" s="23">
        <f>IF($AE96=1,AVERAGE(N96:Q96),"")</f>
        <v/>
      </c>
      <c r="AJ96" s="23">
        <f>IF($AE96=1,AVERAGE(R96:U96),"")</f>
        <v/>
      </c>
      <c r="AK96" s="23">
        <f>IF($AE96=1,AVERAGE(V96:X96),"")</f>
        <v/>
      </c>
    </row>
    <row r="97">
      <c r="A97" s="20" t="n">
        <v>45727.93472222222</v>
      </c>
      <c r="B97" s="21" t="n">
        <v>1</v>
      </c>
      <c r="C97" s="21" t="n">
        <v>1</v>
      </c>
      <c r="D97" s="21" t="n">
        <v>2</v>
      </c>
      <c r="E97" s="21" t="n">
        <v>2</v>
      </c>
      <c r="F97" s="21" t="n">
        <v>4</v>
      </c>
      <c r="G97" s="21" t="n">
        <v>5</v>
      </c>
      <c r="H97" s="21" t="n">
        <v>5</v>
      </c>
      <c r="I97" s="21" t="n">
        <v>5</v>
      </c>
      <c r="J97" s="21" t="n">
        <v>5</v>
      </c>
      <c r="K97" s="21" t="n">
        <v>5</v>
      </c>
      <c r="L97" s="21" t="n">
        <v>4</v>
      </c>
      <c r="M97" s="21" t="n">
        <v>5</v>
      </c>
      <c r="N97" s="21" t="n">
        <v>5</v>
      </c>
      <c r="O97" s="21" t="n">
        <v>5</v>
      </c>
      <c r="P97" s="21" t="n">
        <v>5</v>
      </c>
      <c r="Q97" s="21" t="n">
        <v>5</v>
      </c>
      <c r="R97" s="21" t="n">
        <v>4</v>
      </c>
      <c r="S97" s="21" t="n">
        <v>3</v>
      </c>
      <c r="T97" s="21" t="n">
        <v>4</v>
      </c>
      <c r="U97" s="21" t="n">
        <v>4</v>
      </c>
      <c r="V97" s="21" t="n">
        <v>5</v>
      </c>
      <c r="W97" s="21" t="n">
        <v>5</v>
      </c>
      <c r="X97" s="21" t="n">
        <v>5</v>
      </c>
      <c r="Y97" s="22">
        <f>INT(A97)</f>
        <v/>
      </c>
      <c r="Z97" s="21">
        <f>IF(Y97&lt;DATE(2025,3,6),1,IF(Y97&lt;DATE(2025,3,13),2,3))</f>
        <v/>
      </c>
      <c r="AA97" s="21">
        <f>COUNTBLANK(B97:X97)</f>
        <v/>
      </c>
      <c r="AB97" s="21">
        <f>B97&amp;"|"&amp;C97&amp;"|"&amp;D97&amp;"|"&amp;E97&amp;"|"&amp;F97&amp;"|"&amp;G97&amp;"|"&amp;H97&amp;"|"&amp;I97&amp;"|"&amp;J97&amp;"|"&amp;K97&amp;"|"&amp;L97&amp;"|"&amp;M97&amp;"|"&amp;N97&amp;"|"&amp;O97&amp;"|"&amp;P97&amp;"|"&amp;Q97&amp;"|"&amp;R97&amp;"|"&amp;S97&amp;"|"&amp;T97&amp;"|"&amp;U97&amp;"|"&amp;V97&amp;"|"&amp;W97&amp;"|"&amp;X97</f>
        <v/>
      </c>
      <c r="AC97" s="21">
        <f>IF(COUNTIF($AB$2:AB97,AB97)&gt;1,1,0)</f>
        <v/>
      </c>
      <c r="AD97" s="23">
        <f>STDEV(F97:X97)</f>
        <v/>
      </c>
      <c r="AE97" s="21">
        <f>IF(OR(AA97&gt;=8,AC97=1,AD97=0),0,1)</f>
        <v/>
      </c>
      <c r="AF97" s="21">
        <f>IF(AE97=1,"",IF(AC97=1,"Trùng",IF(AA97&gt;=8,"Bỏ trống "&amp;AA97&amp;" ô","Chọn cùng một mức")))</f>
        <v/>
      </c>
      <c r="AG97" s="23">
        <f>IF($AE97=1,AVERAGE(F97:I97),"")</f>
        <v/>
      </c>
      <c r="AH97" s="23">
        <f>IF($AE97=1,AVERAGE(J97:M97),"")</f>
        <v/>
      </c>
      <c r="AI97" s="23">
        <f>IF($AE97=1,AVERAGE(N97:Q97),"")</f>
        <v/>
      </c>
      <c r="AJ97" s="23">
        <f>IF($AE97=1,AVERAGE(R97:U97),"")</f>
        <v/>
      </c>
      <c r="AK97" s="23">
        <f>IF($AE97=1,AVERAGE(V97:X97),"")</f>
        <v/>
      </c>
    </row>
    <row r="98">
      <c r="A98" s="20" t="n">
        <v>45728</v>
      </c>
      <c r="B98" s="21" t="n">
        <v>1</v>
      </c>
      <c r="C98" s="21" t="n">
        <v>3</v>
      </c>
      <c r="D98" s="21" t="n">
        <v>1</v>
      </c>
      <c r="E98" s="21" t="n">
        <v>3</v>
      </c>
      <c r="F98" s="21" t="n">
        <v>4</v>
      </c>
      <c r="G98" s="21" t="n">
        <v>4</v>
      </c>
      <c r="H98" s="21" t="n">
        <v>4</v>
      </c>
      <c r="I98" s="21" t="n">
        <v>5</v>
      </c>
      <c r="J98" s="21" t="n">
        <v>4</v>
      </c>
      <c r="K98" s="21" t="n">
        <v>4</v>
      </c>
      <c r="L98" s="21" t="n">
        <v>2</v>
      </c>
      <c r="M98" s="21" t="n">
        <v>3</v>
      </c>
      <c r="N98" s="21" t="n">
        <v>4</v>
      </c>
      <c r="O98" s="21" t="n">
        <v>4</v>
      </c>
      <c r="P98" s="21" t="n">
        <v>3</v>
      </c>
      <c r="Q98" s="21" t="n">
        <v>3</v>
      </c>
      <c r="R98" s="21" t="n">
        <v>3</v>
      </c>
      <c r="S98" s="21" t="n">
        <v>4</v>
      </c>
      <c r="T98" s="21" t="n">
        <v>3</v>
      </c>
      <c r="U98" s="21" t="n">
        <v>4</v>
      </c>
      <c r="V98" s="21" t="n">
        <v>4</v>
      </c>
      <c r="W98" s="21" t="n">
        <v>4</v>
      </c>
      <c r="X98" s="21" t="n">
        <v>5</v>
      </c>
      <c r="Y98" s="22">
        <f>INT(A98)</f>
        <v/>
      </c>
      <c r="Z98" s="21">
        <f>IF(Y98&lt;DATE(2025,3,6),1,IF(Y98&lt;DATE(2025,3,13),2,3))</f>
        <v/>
      </c>
      <c r="AA98" s="21">
        <f>COUNTBLANK(B98:X98)</f>
        <v/>
      </c>
      <c r="AB98" s="21">
        <f>B98&amp;"|"&amp;C98&amp;"|"&amp;D98&amp;"|"&amp;E98&amp;"|"&amp;F98&amp;"|"&amp;G98&amp;"|"&amp;H98&amp;"|"&amp;I98&amp;"|"&amp;J98&amp;"|"&amp;K98&amp;"|"&amp;L98&amp;"|"&amp;M98&amp;"|"&amp;N98&amp;"|"&amp;O98&amp;"|"&amp;P98&amp;"|"&amp;Q98&amp;"|"&amp;R98&amp;"|"&amp;S98&amp;"|"&amp;T98&amp;"|"&amp;U98&amp;"|"&amp;V98&amp;"|"&amp;W98&amp;"|"&amp;X98</f>
        <v/>
      </c>
      <c r="AC98" s="21">
        <f>IF(COUNTIF($AB$2:AB98,AB98)&gt;1,1,0)</f>
        <v/>
      </c>
      <c r="AD98" s="23">
        <f>STDEV(F98:X98)</f>
        <v/>
      </c>
      <c r="AE98" s="21">
        <f>IF(OR(AA98&gt;=8,AC98=1,AD98=0),0,1)</f>
        <v/>
      </c>
      <c r="AF98" s="21">
        <f>IF(AE98=1,"",IF(AC98=1,"Trùng",IF(AA98&gt;=8,"Bỏ trống "&amp;AA98&amp;" ô","Chọn cùng một mức")))</f>
        <v/>
      </c>
      <c r="AG98" s="23">
        <f>IF($AE98=1,AVERAGE(F98:I98),"")</f>
        <v/>
      </c>
      <c r="AH98" s="23">
        <f>IF($AE98=1,AVERAGE(J98:M98),"")</f>
        <v/>
      </c>
      <c r="AI98" s="23">
        <f>IF($AE98=1,AVERAGE(N98:Q98),"")</f>
        <v/>
      </c>
      <c r="AJ98" s="23">
        <f>IF($AE98=1,AVERAGE(R98:U98),"")</f>
        <v/>
      </c>
      <c r="AK98" s="23">
        <f>IF($AE98=1,AVERAGE(V98:X98),"")</f>
        <v/>
      </c>
    </row>
    <row r="99">
      <c r="A99" s="20" t="n">
        <v>45728.01597222222</v>
      </c>
      <c r="B99" s="21" t="n">
        <v>1</v>
      </c>
      <c r="C99" s="21" t="n">
        <v>4</v>
      </c>
      <c r="D99" s="21" t="n">
        <v>2</v>
      </c>
      <c r="E99" s="21" t="n">
        <v>1</v>
      </c>
      <c r="F99" s="21" t="n">
        <v>3</v>
      </c>
      <c r="G99" s="21" t="n">
        <v>3</v>
      </c>
      <c r="H99" s="21" t="n">
        <v>3</v>
      </c>
      <c r="I99" s="21" t="n">
        <v>1</v>
      </c>
      <c r="J99" s="21" t="n">
        <v>4</v>
      </c>
      <c r="K99" s="21" t="n">
        <v>3</v>
      </c>
      <c r="L99" s="21" t="n">
        <v>4</v>
      </c>
      <c r="M99" s="21" t="n">
        <v>3</v>
      </c>
      <c r="N99" s="21" t="n">
        <v>3</v>
      </c>
      <c r="O99" s="21" t="n">
        <v>3</v>
      </c>
      <c r="P99" s="21" t="n">
        <v>3</v>
      </c>
      <c r="Q99" s="21" t="n">
        <v>2</v>
      </c>
      <c r="R99" s="21" t="n">
        <v>4</v>
      </c>
      <c r="S99" s="21" t="n">
        <v>2</v>
      </c>
      <c r="T99" s="21" t="n">
        <v>3</v>
      </c>
      <c r="U99" s="21" t="n">
        <v>3</v>
      </c>
      <c r="V99" s="21" t="n">
        <v>3</v>
      </c>
      <c r="W99" s="21" t="n">
        <v>4</v>
      </c>
      <c r="X99" s="21" t="n">
        <v>2</v>
      </c>
      <c r="Y99" s="22">
        <f>INT(A99)</f>
        <v/>
      </c>
      <c r="Z99" s="21">
        <f>IF(Y99&lt;DATE(2025,3,6),1,IF(Y99&lt;DATE(2025,3,13),2,3))</f>
        <v/>
      </c>
      <c r="AA99" s="21">
        <f>COUNTBLANK(B99:X99)</f>
        <v/>
      </c>
      <c r="AB99" s="21">
        <f>B99&amp;"|"&amp;C99&amp;"|"&amp;D99&amp;"|"&amp;E99&amp;"|"&amp;F99&amp;"|"&amp;G99&amp;"|"&amp;H99&amp;"|"&amp;I99&amp;"|"&amp;J99&amp;"|"&amp;K99&amp;"|"&amp;L99&amp;"|"&amp;M99&amp;"|"&amp;N99&amp;"|"&amp;O99&amp;"|"&amp;P99&amp;"|"&amp;Q99&amp;"|"&amp;R99&amp;"|"&amp;S99&amp;"|"&amp;T99&amp;"|"&amp;U99&amp;"|"&amp;V99&amp;"|"&amp;W99&amp;"|"&amp;X99</f>
        <v/>
      </c>
      <c r="AC99" s="21">
        <f>IF(COUNTIF($AB$2:AB99,AB99)&gt;1,1,0)</f>
        <v/>
      </c>
      <c r="AD99" s="23">
        <f>STDEV(F99:X99)</f>
        <v/>
      </c>
      <c r="AE99" s="21">
        <f>IF(OR(AA99&gt;=8,AC99=1,AD99=0),0,1)</f>
        <v/>
      </c>
      <c r="AF99" s="21">
        <f>IF(AE99=1,"",IF(AC99=1,"Trùng",IF(AA99&gt;=8,"Bỏ trống "&amp;AA99&amp;" ô","Chọn cùng một mức")))</f>
        <v/>
      </c>
      <c r="AG99" s="23">
        <f>IF($AE99=1,AVERAGE(F99:I99),"")</f>
        <v/>
      </c>
      <c r="AH99" s="23">
        <f>IF($AE99=1,AVERAGE(J99:M99),"")</f>
        <v/>
      </c>
      <c r="AI99" s="23">
        <f>IF($AE99=1,AVERAGE(N99:Q99),"")</f>
        <v/>
      </c>
      <c r="AJ99" s="23">
        <f>IF($AE99=1,AVERAGE(R99:U99),"")</f>
        <v/>
      </c>
      <c r="AK99" s="23">
        <f>IF($AE99=1,AVERAGE(V99:X99),"")</f>
        <v/>
      </c>
    </row>
    <row r="100">
      <c r="A100" s="20" t="n">
        <v>45728.075</v>
      </c>
      <c r="B100" s="21" t="n">
        <v>1</v>
      </c>
      <c r="C100" s="21" t="n">
        <v>4</v>
      </c>
      <c r="D100" s="21" t="n">
        <v>2</v>
      </c>
      <c r="E100" s="21" t="n">
        <v>2</v>
      </c>
      <c r="F100" s="21" t="n">
        <v>5</v>
      </c>
      <c r="G100" s="21" t="n">
        <v>4</v>
      </c>
      <c r="H100" s="21" t="n">
        <v>3</v>
      </c>
      <c r="I100" s="21" t="n">
        <v>2</v>
      </c>
      <c r="J100" s="21" t="n">
        <v>4</v>
      </c>
      <c r="K100" s="21" t="n">
        <v>4</v>
      </c>
      <c r="L100" s="21" t="n">
        <v>3</v>
      </c>
      <c r="M100" s="21" t="n">
        <v>2</v>
      </c>
      <c r="N100" s="21" t="n">
        <v>3</v>
      </c>
      <c r="O100" s="21" t="n">
        <v>4</v>
      </c>
      <c r="P100" s="21" t="n">
        <v>3</v>
      </c>
      <c r="Q100" s="21" t="n">
        <v>3</v>
      </c>
      <c r="R100" s="21" t="n">
        <v>3</v>
      </c>
      <c r="S100" s="21" t="n">
        <v>3</v>
      </c>
      <c r="T100" s="21" t="n">
        <v>3</v>
      </c>
      <c r="U100" s="21" t="n">
        <v>2</v>
      </c>
      <c r="V100" s="21" t="n">
        <v>3</v>
      </c>
      <c r="W100" s="21" t="n">
        <v>4</v>
      </c>
      <c r="X100" s="21" t="n">
        <v>3</v>
      </c>
      <c r="Y100" s="22">
        <f>INT(A100)</f>
        <v/>
      </c>
      <c r="Z100" s="21">
        <f>IF(Y100&lt;DATE(2025,3,6),1,IF(Y100&lt;DATE(2025,3,13),2,3))</f>
        <v/>
      </c>
      <c r="AA100" s="21">
        <f>COUNTBLANK(B100:X100)</f>
        <v/>
      </c>
      <c r="AB100" s="21">
        <f>B100&amp;"|"&amp;C100&amp;"|"&amp;D100&amp;"|"&amp;E100&amp;"|"&amp;F100&amp;"|"&amp;G100&amp;"|"&amp;H100&amp;"|"&amp;I100&amp;"|"&amp;J100&amp;"|"&amp;K100&amp;"|"&amp;L100&amp;"|"&amp;M100&amp;"|"&amp;N100&amp;"|"&amp;O100&amp;"|"&amp;P100&amp;"|"&amp;Q100&amp;"|"&amp;R100&amp;"|"&amp;S100&amp;"|"&amp;T100&amp;"|"&amp;U100&amp;"|"&amp;V100&amp;"|"&amp;W100&amp;"|"&amp;X100</f>
        <v/>
      </c>
      <c r="AC100" s="21">
        <f>IF(COUNTIF($AB$2:AB100,AB100)&gt;1,1,0)</f>
        <v/>
      </c>
      <c r="AD100" s="23">
        <f>STDEV(F100:X100)</f>
        <v/>
      </c>
      <c r="AE100" s="21">
        <f>IF(OR(AA100&gt;=8,AC100=1,AD100=0),0,1)</f>
        <v/>
      </c>
      <c r="AF100" s="21">
        <f>IF(AE100=1,"",IF(AC100=1,"Trùng",IF(AA100&gt;=8,"Bỏ trống "&amp;AA100&amp;" ô","Chọn cùng một mức")))</f>
        <v/>
      </c>
      <c r="AG100" s="23">
        <f>IF($AE100=1,AVERAGE(F100:I100),"")</f>
        <v/>
      </c>
      <c r="AH100" s="23">
        <f>IF($AE100=1,AVERAGE(J100:M100),"")</f>
        <v/>
      </c>
      <c r="AI100" s="23">
        <f>IF($AE100=1,AVERAGE(N100:Q100),"")</f>
        <v/>
      </c>
      <c r="AJ100" s="23">
        <f>IF($AE100=1,AVERAGE(R100:U100),"")</f>
        <v/>
      </c>
      <c r="AK100" s="23">
        <f>IF($AE100=1,AVERAGE(V100:X100),"")</f>
        <v/>
      </c>
    </row>
    <row r="101">
      <c r="A101" s="20" t="n">
        <v>45728.08611111111</v>
      </c>
      <c r="B101" s="21" t="n">
        <v>2</v>
      </c>
      <c r="C101" s="21" t="n">
        <v>2</v>
      </c>
      <c r="D101" s="21" t="n">
        <v>1</v>
      </c>
      <c r="E101" s="21" t="n">
        <v>2</v>
      </c>
      <c r="F101" s="21" t="n">
        <v>4</v>
      </c>
      <c r="G101" s="21" t="n">
        <v>5</v>
      </c>
      <c r="H101" s="21" t="n">
        <v>4</v>
      </c>
      <c r="I101" s="21" t="n">
        <v>4</v>
      </c>
      <c r="J101" s="21" t="n">
        <v>4</v>
      </c>
      <c r="K101" s="21" t="n">
        <v>4</v>
      </c>
      <c r="L101" s="21" t="n">
        <v>5</v>
      </c>
      <c r="M101" s="21" t="n">
        <v>4</v>
      </c>
      <c r="N101" s="21" t="n">
        <v>4</v>
      </c>
      <c r="O101" s="21" t="n">
        <v>4</v>
      </c>
      <c r="P101" s="21" t="n">
        <v>5</v>
      </c>
      <c r="Q101" s="21" t="n">
        <v>3</v>
      </c>
      <c r="R101" s="21" t="n">
        <v>4</v>
      </c>
      <c r="S101" s="21" t="n">
        <v>4</v>
      </c>
      <c r="T101" s="21" t="n">
        <v>4</v>
      </c>
      <c r="U101" s="21" t="n">
        <v>4</v>
      </c>
      <c r="V101" s="21" t="n">
        <v>5</v>
      </c>
      <c r="W101" s="21" t="n">
        <v>4</v>
      </c>
      <c r="X101" s="21" t="n">
        <v>5</v>
      </c>
      <c r="Y101" s="22">
        <f>INT(A101)</f>
        <v/>
      </c>
      <c r="Z101" s="21">
        <f>IF(Y101&lt;DATE(2025,3,6),1,IF(Y101&lt;DATE(2025,3,13),2,3))</f>
        <v/>
      </c>
      <c r="AA101" s="21">
        <f>COUNTBLANK(B101:X101)</f>
        <v/>
      </c>
      <c r="AB101" s="21">
        <f>B101&amp;"|"&amp;C101&amp;"|"&amp;D101&amp;"|"&amp;E101&amp;"|"&amp;F101&amp;"|"&amp;G101&amp;"|"&amp;H101&amp;"|"&amp;I101&amp;"|"&amp;J101&amp;"|"&amp;K101&amp;"|"&amp;L101&amp;"|"&amp;M101&amp;"|"&amp;N101&amp;"|"&amp;O101&amp;"|"&amp;P101&amp;"|"&amp;Q101&amp;"|"&amp;R101&amp;"|"&amp;S101&amp;"|"&amp;T101&amp;"|"&amp;U101&amp;"|"&amp;V101&amp;"|"&amp;W101&amp;"|"&amp;X101</f>
        <v/>
      </c>
      <c r="AC101" s="21">
        <f>IF(COUNTIF($AB$2:AB101,AB101)&gt;1,1,0)</f>
        <v/>
      </c>
      <c r="AD101" s="23">
        <f>STDEV(F101:X101)</f>
        <v/>
      </c>
      <c r="AE101" s="21">
        <f>IF(OR(AA101&gt;=8,AC101=1,AD101=0),0,1)</f>
        <v/>
      </c>
      <c r="AF101" s="21">
        <f>IF(AE101=1,"",IF(AC101=1,"Trùng",IF(AA101&gt;=8,"Bỏ trống "&amp;AA101&amp;" ô","Chọn cùng một mức")))</f>
        <v/>
      </c>
      <c r="AG101" s="23">
        <f>IF($AE101=1,AVERAGE(F101:I101),"")</f>
        <v/>
      </c>
      <c r="AH101" s="23">
        <f>IF($AE101=1,AVERAGE(J101:M101),"")</f>
        <v/>
      </c>
      <c r="AI101" s="23">
        <f>IF($AE101=1,AVERAGE(N101:Q101),"")</f>
        <v/>
      </c>
      <c r="AJ101" s="23">
        <f>IF($AE101=1,AVERAGE(R101:U101),"")</f>
        <v/>
      </c>
      <c r="AK101" s="23">
        <f>IF($AE101=1,AVERAGE(V101:X101),"")</f>
        <v/>
      </c>
    </row>
    <row r="102">
      <c r="A102" s="20" t="n">
        <v>45728.22847222222</v>
      </c>
      <c r="B102" s="21" t="n">
        <v>1</v>
      </c>
      <c r="C102" s="21" t="n">
        <v>2</v>
      </c>
      <c r="D102" s="21" t="n">
        <v>2</v>
      </c>
      <c r="E102" s="21" t="n">
        <v>1</v>
      </c>
      <c r="F102" s="21" t="n">
        <v>5</v>
      </c>
      <c r="G102" s="21" t="n">
        <v>5</v>
      </c>
      <c r="H102" s="21" t="n">
        <v>5</v>
      </c>
      <c r="I102" s="21" t="n">
        <v>5</v>
      </c>
      <c r="J102" s="21" t="n">
        <v>4</v>
      </c>
      <c r="K102" s="21" t="n">
        <v>3</v>
      </c>
      <c r="L102" s="21" t="n">
        <v>4</v>
      </c>
      <c r="M102" s="21" t="n">
        <v>4</v>
      </c>
      <c r="N102" s="21" t="n">
        <v>4</v>
      </c>
      <c r="O102" s="21" t="n">
        <v>2</v>
      </c>
      <c r="P102" s="21" t="n">
        <v>3</v>
      </c>
      <c r="Q102" s="21" t="n">
        <v>3</v>
      </c>
      <c r="R102" s="21" t="n">
        <v>5</v>
      </c>
      <c r="S102" s="21" t="n">
        <v>5</v>
      </c>
      <c r="T102" s="21" t="n">
        <v>5</v>
      </c>
      <c r="U102" s="21" t="n">
        <v>5</v>
      </c>
      <c r="V102" s="21" t="n">
        <v>4</v>
      </c>
      <c r="W102" s="21" t="n">
        <v>4</v>
      </c>
      <c r="X102" s="21" t="n">
        <v>4</v>
      </c>
      <c r="Y102" s="22">
        <f>INT(A102)</f>
        <v/>
      </c>
      <c r="Z102" s="21">
        <f>IF(Y102&lt;DATE(2025,3,6),1,IF(Y102&lt;DATE(2025,3,13),2,3))</f>
        <v/>
      </c>
      <c r="AA102" s="21">
        <f>COUNTBLANK(B102:X102)</f>
        <v/>
      </c>
      <c r="AB102" s="21">
        <f>B102&amp;"|"&amp;C102&amp;"|"&amp;D102&amp;"|"&amp;E102&amp;"|"&amp;F102&amp;"|"&amp;G102&amp;"|"&amp;H102&amp;"|"&amp;I102&amp;"|"&amp;J102&amp;"|"&amp;K102&amp;"|"&amp;L102&amp;"|"&amp;M102&amp;"|"&amp;N102&amp;"|"&amp;O102&amp;"|"&amp;P102&amp;"|"&amp;Q102&amp;"|"&amp;R102&amp;"|"&amp;S102&amp;"|"&amp;T102&amp;"|"&amp;U102&amp;"|"&amp;V102&amp;"|"&amp;W102&amp;"|"&amp;X102</f>
        <v/>
      </c>
      <c r="AC102" s="21">
        <f>IF(COUNTIF($AB$2:AB102,AB102)&gt;1,1,0)</f>
        <v/>
      </c>
      <c r="AD102" s="23">
        <f>STDEV(F102:X102)</f>
        <v/>
      </c>
      <c r="AE102" s="21">
        <f>IF(OR(AA102&gt;=8,AC102=1,AD102=0),0,1)</f>
        <v/>
      </c>
      <c r="AF102" s="21">
        <f>IF(AE102=1,"",IF(AC102=1,"Trùng",IF(AA102&gt;=8,"Bỏ trống "&amp;AA102&amp;" ô","Chọn cùng một mức")))</f>
        <v/>
      </c>
      <c r="AG102" s="23">
        <f>IF($AE102=1,AVERAGE(F102:I102),"")</f>
        <v/>
      </c>
      <c r="AH102" s="23">
        <f>IF($AE102=1,AVERAGE(J102:M102),"")</f>
        <v/>
      </c>
      <c r="AI102" s="23">
        <f>IF($AE102=1,AVERAGE(N102:Q102),"")</f>
        <v/>
      </c>
      <c r="AJ102" s="23">
        <f>IF($AE102=1,AVERAGE(R102:U102),"")</f>
        <v/>
      </c>
      <c r="AK102" s="23">
        <f>IF($AE102=1,AVERAGE(V102:X102),"")</f>
        <v/>
      </c>
    </row>
    <row r="103">
      <c r="A103" s="20" t="n">
        <v>45728.42291666667</v>
      </c>
      <c r="B103" s="21" t="n">
        <v>1</v>
      </c>
      <c r="C103" s="21" t="n">
        <v>1</v>
      </c>
      <c r="D103" s="21" t="n">
        <v>5</v>
      </c>
      <c r="E103" s="21" t="n">
        <v>4</v>
      </c>
      <c r="F103" s="21" t="n">
        <v>3</v>
      </c>
      <c r="G103" s="21" t="n">
        <v>4</v>
      </c>
      <c r="H103" s="21" t="n"/>
      <c r="I103" s="21" t="n">
        <v>3</v>
      </c>
      <c r="J103" s="21" t="n">
        <v>4</v>
      </c>
      <c r="K103" s="21" t="n"/>
      <c r="L103" s="21" t="n">
        <v>5</v>
      </c>
      <c r="M103" s="21" t="n"/>
      <c r="N103" s="21" t="n">
        <v>2</v>
      </c>
      <c r="O103" s="21" t="n"/>
      <c r="P103" s="21" t="n"/>
      <c r="Q103" s="21" t="n"/>
      <c r="R103" s="21" t="n"/>
      <c r="S103" s="21" t="n"/>
      <c r="T103" s="21" t="n"/>
      <c r="U103" s="21" t="n"/>
      <c r="V103" s="21" t="n"/>
      <c r="W103" s="21" t="n"/>
      <c r="X103" s="21" t="n"/>
      <c r="Y103" s="22">
        <f>INT(A103)</f>
        <v/>
      </c>
      <c r="Z103" s="21">
        <f>IF(Y103&lt;DATE(2025,3,6),1,IF(Y103&lt;DATE(2025,3,13),2,3))</f>
        <v/>
      </c>
      <c r="AA103" s="21">
        <f>COUNTBLANK(B103:X103)</f>
        <v/>
      </c>
      <c r="AB103" s="21">
        <f>B103&amp;"|"&amp;C103&amp;"|"&amp;D103&amp;"|"&amp;E103&amp;"|"&amp;F103&amp;"|"&amp;G103&amp;"|"&amp;H103&amp;"|"&amp;I103&amp;"|"&amp;J103&amp;"|"&amp;K103&amp;"|"&amp;L103&amp;"|"&amp;M103&amp;"|"&amp;N103&amp;"|"&amp;O103&amp;"|"&amp;P103&amp;"|"&amp;Q103&amp;"|"&amp;R103&amp;"|"&amp;S103&amp;"|"&amp;T103&amp;"|"&amp;U103&amp;"|"&amp;V103&amp;"|"&amp;W103&amp;"|"&amp;X103</f>
        <v/>
      </c>
      <c r="AC103" s="21">
        <f>IF(COUNTIF($AB$2:AB103,AB103)&gt;1,1,0)</f>
        <v/>
      </c>
      <c r="AD103" s="23">
        <f>STDEV(F103:X103)</f>
        <v/>
      </c>
      <c r="AE103" s="21">
        <f>IF(OR(AA103&gt;=8,AC103=1,AD103=0),0,1)</f>
        <v/>
      </c>
      <c r="AF103" s="21">
        <f>IF(AE103=1,"",IF(AC103=1,"Trùng",IF(AA103&gt;=8,"Bỏ trống "&amp;AA103&amp;" ô","Chọn cùng một mức")))</f>
        <v/>
      </c>
      <c r="AG103" s="23">
        <f>IF($AE103=1,AVERAGE(F103:I103),"")</f>
        <v/>
      </c>
      <c r="AH103" s="23">
        <f>IF($AE103=1,AVERAGE(J103:M103),"")</f>
        <v/>
      </c>
      <c r="AI103" s="23">
        <f>IF($AE103=1,AVERAGE(N103:Q103),"")</f>
        <v/>
      </c>
      <c r="AJ103" s="23">
        <f>IF($AE103=1,AVERAGE(R103:U103),"")</f>
        <v/>
      </c>
      <c r="AK103" s="23">
        <f>IF($AE103=1,AVERAGE(V103:X103),"")</f>
        <v/>
      </c>
    </row>
    <row r="104">
      <c r="A104" s="20" t="n">
        <v>45728.55972222222</v>
      </c>
      <c r="B104" s="21" t="n">
        <v>2</v>
      </c>
      <c r="C104" s="21" t="n">
        <v>1</v>
      </c>
      <c r="D104" s="21" t="n">
        <v>1</v>
      </c>
      <c r="E104" s="21" t="n">
        <v>2</v>
      </c>
      <c r="F104" s="21" t="n">
        <v>5</v>
      </c>
      <c r="G104" s="21" t="n">
        <v>5</v>
      </c>
      <c r="H104" s="21" t="n">
        <v>4</v>
      </c>
      <c r="I104" s="21" t="n">
        <v>5</v>
      </c>
      <c r="J104" s="21" t="n">
        <v>3</v>
      </c>
      <c r="K104" s="21" t="n">
        <v>3</v>
      </c>
      <c r="L104" s="21" t="n">
        <v>3</v>
      </c>
      <c r="M104" s="21" t="n">
        <v>4</v>
      </c>
      <c r="N104" s="21" t="n">
        <v>3</v>
      </c>
      <c r="O104" s="21" t="n">
        <v>4</v>
      </c>
      <c r="P104" s="21" t="n">
        <v>4</v>
      </c>
      <c r="Q104" s="21" t="n">
        <v>4</v>
      </c>
      <c r="R104" s="21" t="n">
        <v>4</v>
      </c>
      <c r="S104" s="21" t="n">
        <v>4</v>
      </c>
      <c r="T104" s="21" t="n">
        <v>3</v>
      </c>
      <c r="U104" s="21" t="n">
        <v>4</v>
      </c>
      <c r="V104" s="21" t="n">
        <v>4</v>
      </c>
      <c r="W104" s="21" t="n">
        <v>3</v>
      </c>
      <c r="X104" s="21" t="n">
        <v>5</v>
      </c>
      <c r="Y104" s="22">
        <f>INT(A104)</f>
        <v/>
      </c>
      <c r="Z104" s="21">
        <f>IF(Y104&lt;DATE(2025,3,6),1,IF(Y104&lt;DATE(2025,3,13),2,3))</f>
        <v/>
      </c>
      <c r="AA104" s="21">
        <f>COUNTBLANK(B104:X104)</f>
        <v/>
      </c>
      <c r="AB104" s="21">
        <f>B104&amp;"|"&amp;C104&amp;"|"&amp;D104&amp;"|"&amp;E104&amp;"|"&amp;F104&amp;"|"&amp;G104&amp;"|"&amp;H104&amp;"|"&amp;I104&amp;"|"&amp;J104&amp;"|"&amp;K104&amp;"|"&amp;L104&amp;"|"&amp;M104&amp;"|"&amp;N104&amp;"|"&amp;O104&amp;"|"&amp;P104&amp;"|"&amp;Q104&amp;"|"&amp;R104&amp;"|"&amp;S104&amp;"|"&amp;T104&amp;"|"&amp;U104&amp;"|"&amp;V104&amp;"|"&amp;W104&amp;"|"&amp;X104</f>
        <v/>
      </c>
      <c r="AC104" s="21">
        <f>IF(COUNTIF($AB$2:AB104,AB104)&gt;1,1,0)</f>
        <v/>
      </c>
      <c r="AD104" s="23">
        <f>STDEV(F104:X104)</f>
        <v/>
      </c>
      <c r="AE104" s="21">
        <f>IF(OR(AA104&gt;=8,AC104=1,AD104=0),0,1)</f>
        <v/>
      </c>
      <c r="AF104" s="21">
        <f>IF(AE104=1,"",IF(AC104=1,"Trùng",IF(AA104&gt;=8,"Bỏ trống "&amp;AA104&amp;" ô","Chọn cùng một mức")))</f>
        <v/>
      </c>
      <c r="AG104" s="23">
        <f>IF($AE104=1,AVERAGE(F104:I104),"")</f>
        <v/>
      </c>
      <c r="AH104" s="23">
        <f>IF($AE104=1,AVERAGE(J104:M104),"")</f>
        <v/>
      </c>
      <c r="AI104" s="23">
        <f>IF($AE104=1,AVERAGE(N104:Q104),"")</f>
        <v/>
      </c>
      <c r="AJ104" s="23">
        <f>IF($AE104=1,AVERAGE(R104:U104),"")</f>
        <v/>
      </c>
      <c r="AK104" s="23">
        <f>IF($AE104=1,AVERAGE(V104:X104),"")</f>
        <v/>
      </c>
    </row>
    <row r="105">
      <c r="A105" s="20" t="n">
        <v>45728.56111111111</v>
      </c>
      <c r="B105" s="21" t="n">
        <v>2</v>
      </c>
      <c r="C105" s="21" t="n">
        <v>1</v>
      </c>
      <c r="D105" s="21" t="n">
        <v>1</v>
      </c>
      <c r="E105" s="21" t="n">
        <v>2</v>
      </c>
      <c r="F105" s="21" t="n">
        <v>5</v>
      </c>
      <c r="G105" s="21" t="n">
        <v>5</v>
      </c>
      <c r="H105" s="21" t="n">
        <v>4</v>
      </c>
      <c r="I105" s="21" t="n">
        <v>5</v>
      </c>
      <c r="J105" s="21" t="n">
        <v>3</v>
      </c>
      <c r="K105" s="21" t="n">
        <v>3</v>
      </c>
      <c r="L105" s="21" t="n">
        <v>3</v>
      </c>
      <c r="M105" s="21" t="n">
        <v>4</v>
      </c>
      <c r="N105" s="21" t="n">
        <v>3</v>
      </c>
      <c r="O105" s="21" t="n">
        <v>4</v>
      </c>
      <c r="P105" s="21" t="n">
        <v>4</v>
      </c>
      <c r="Q105" s="21" t="n">
        <v>4</v>
      </c>
      <c r="R105" s="21" t="n">
        <v>4</v>
      </c>
      <c r="S105" s="21" t="n">
        <v>4</v>
      </c>
      <c r="T105" s="21" t="n">
        <v>3</v>
      </c>
      <c r="U105" s="21" t="n">
        <v>4</v>
      </c>
      <c r="V105" s="21" t="n">
        <v>4</v>
      </c>
      <c r="W105" s="21" t="n">
        <v>3</v>
      </c>
      <c r="X105" s="21" t="n">
        <v>5</v>
      </c>
      <c r="Y105" s="22">
        <f>INT(A105)</f>
        <v/>
      </c>
      <c r="Z105" s="21">
        <f>IF(Y105&lt;DATE(2025,3,6),1,IF(Y105&lt;DATE(2025,3,13),2,3))</f>
        <v/>
      </c>
      <c r="AA105" s="21">
        <f>COUNTBLANK(B105:X105)</f>
        <v/>
      </c>
      <c r="AB105" s="21">
        <f>B105&amp;"|"&amp;C105&amp;"|"&amp;D105&amp;"|"&amp;E105&amp;"|"&amp;F105&amp;"|"&amp;G105&amp;"|"&amp;H105&amp;"|"&amp;I105&amp;"|"&amp;J105&amp;"|"&amp;K105&amp;"|"&amp;L105&amp;"|"&amp;M105&amp;"|"&amp;N105&amp;"|"&amp;O105&amp;"|"&amp;P105&amp;"|"&amp;Q105&amp;"|"&amp;R105&amp;"|"&amp;S105&amp;"|"&amp;T105&amp;"|"&amp;U105&amp;"|"&amp;V105&amp;"|"&amp;W105&amp;"|"&amp;X105</f>
        <v/>
      </c>
      <c r="AC105" s="21">
        <f>IF(COUNTIF($AB$2:AB105,AB105)&gt;1,1,0)</f>
        <v/>
      </c>
      <c r="AD105" s="23">
        <f>STDEV(F105:X105)</f>
        <v/>
      </c>
      <c r="AE105" s="21">
        <f>IF(OR(AA105&gt;=8,AC105=1,AD105=0),0,1)</f>
        <v/>
      </c>
      <c r="AF105" s="21">
        <f>IF(AE105=1,"",IF(AC105=1,"Trùng",IF(AA105&gt;=8,"Bỏ trống "&amp;AA105&amp;" ô","Chọn cùng một mức")))</f>
        <v/>
      </c>
      <c r="AG105" s="23">
        <f>IF($AE105=1,AVERAGE(F105:I105),"")</f>
        <v/>
      </c>
      <c r="AH105" s="23">
        <f>IF($AE105=1,AVERAGE(J105:M105),"")</f>
        <v/>
      </c>
      <c r="AI105" s="23">
        <f>IF($AE105=1,AVERAGE(N105:Q105),"")</f>
        <v/>
      </c>
      <c r="AJ105" s="23">
        <f>IF($AE105=1,AVERAGE(R105:U105),"")</f>
        <v/>
      </c>
      <c r="AK105" s="23">
        <f>IF($AE105=1,AVERAGE(V105:X105),"")</f>
        <v/>
      </c>
    </row>
    <row r="106">
      <c r="A106" s="20" t="n">
        <v>45728.64305555556</v>
      </c>
      <c r="B106" s="21" t="n">
        <v>1</v>
      </c>
      <c r="C106" s="21" t="n">
        <v>1</v>
      </c>
      <c r="D106" s="21" t="n">
        <v>1</v>
      </c>
      <c r="E106" s="21" t="n">
        <v>2</v>
      </c>
      <c r="F106" s="21" t="n">
        <v>3</v>
      </c>
      <c r="G106" s="21" t="n">
        <v>3</v>
      </c>
      <c r="H106" s="21" t="n">
        <v>4</v>
      </c>
      <c r="I106" s="21" t="n">
        <v>3</v>
      </c>
      <c r="J106" s="21" t="n">
        <v>4</v>
      </c>
      <c r="K106" s="21" t="n">
        <v>4</v>
      </c>
      <c r="L106" s="21" t="n">
        <v>5</v>
      </c>
      <c r="M106" s="21" t="n">
        <v>4</v>
      </c>
      <c r="N106" s="21" t="n">
        <v>3</v>
      </c>
      <c r="O106" s="21" t="n">
        <v>2</v>
      </c>
      <c r="P106" s="21" t="n">
        <v>2</v>
      </c>
      <c r="Q106" s="21" t="n">
        <v>3</v>
      </c>
      <c r="R106" s="21" t="n">
        <v>4</v>
      </c>
      <c r="S106" s="21" t="n">
        <v>4</v>
      </c>
      <c r="T106" s="21" t="n">
        <v>3</v>
      </c>
      <c r="U106" s="21" t="n">
        <v>4</v>
      </c>
      <c r="V106" s="21" t="n">
        <v>3</v>
      </c>
      <c r="W106" s="21" t="n">
        <v>4</v>
      </c>
      <c r="X106" s="21" t="n">
        <v>2</v>
      </c>
      <c r="Y106" s="22">
        <f>INT(A106)</f>
        <v/>
      </c>
      <c r="Z106" s="21">
        <f>IF(Y106&lt;DATE(2025,3,6),1,IF(Y106&lt;DATE(2025,3,13),2,3))</f>
        <v/>
      </c>
      <c r="AA106" s="21">
        <f>COUNTBLANK(B106:X106)</f>
        <v/>
      </c>
      <c r="AB106" s="21">
        <f>B106&amp;"|"&amp;C106&amp;"|"&amp;D106&amp;"|"&amp;E106&amp;"|"&amp;F106&amp;"|"&amp;G106&amp;"|"&amp;H106&amp;"|"&amp;I106&amp;"|"&amp;J106&amp;"|"&amp;K106&amp;"|"&amp;L106&amp;"|"&amp;M106&amp;"|"&amp;N106&amp;"|"&amp;O106&amp;"|"&amp;P106&amp;"|"&amp;Q106&amp;"|"&amp;R106&amp;"|"&amp;S106&amp;"|"&amp;T106&amp;"|"&amp;U106&amp;"|"&amp;V106&amp;"|"&amp;W106&amp;"|"&amp;X106</f>
        <v/>
      </c>
      <c r="AC106" s="21">
        <f>IF(COUNTIF($AB$2:AB106,AB106)&gt;1,1,0)</f>
        <v/>
      </c>
      <c r="AD106" s="23">
        <f>STDEV(F106:X106)</f>
        <v/>
      </c>
      <c r="AE106" s="21">
        <f>IF(OR(AA106&gt;=8,AC106=1,AD106=0),0,1)</f>
        <v/>
      </c>
      <c r="AF106" s="21">
        <f>IF(AE106=1,"",IF(AC106=1,"Trùng",IF(AA106&gt;=8,"Bỏ trống "&amp;AA106&amp;" ô","Chọn cùng một mức")))</f>
        <v/>
      </c>
      <c r="AG106" s="23">
        <f>IF($AE106=1,AVERAGE(F106:I106),"")</f>
        <v/>
      </c>
      <c r="AH106" s="23">
        <f>IF($AE106=1,AVERAGE(J106:M106),"")</f>
        <v/>
      </c>
      <c r="AI106" s="23">
        <f>IF($AE106=1,AVERAGE(N106:Q106),"")</f>
        <v/>
      </c>
      <c r="AJ106" s="23">
        <f>IF($AE106=1,AVERAGE(R106:U106),"")</f>
        <v/>
      </c>
      <c r="AK106" s="23">
        <f>IF($AE106=1,AVERAGE(V106:X106),"")</f>
        <v/>
      </c>
    </row>
    <row r="107">
      <c r="A107" s="20" t="n">
        <v>45728.98472222222</v>
      </c>
      <c r="B107" s="21" t="n">
        <v>2</v>
      </c>
      <c r="C107" s="21" t="n">
        <v>1</v>
      </c>
      <c r="D107" s="21" t="n">
        <v>1</v>
      </c>
      <c r="E107" s="21" t="n">
        <v>2</v>
      </c>
      <c r="F107" s="21" t="n">
        <v>4</v>
      </c>
      <c r="G107" s="21" t="n">
        <v>4</v>
      </c>
      <c r="H107" s="21" t="n">
        <v>5</v>
      </c>
      <c r="I107" s="21" t="n">
        <v>4</v>
      </c>
      <c r="J107" s="21" t="n">
        <v>3</v>
      </c>
      <c r="K107" s="21" t="n">
        <v>2</v>
      </c>
      <c r="L107" s="21" t="n">
        <v>4</v>
      </c>
      <c r="M107" s="21" t="n">
        <v>2</v>
      </c>
      <c r="N107" s="21" t="n">
        <v>4</v>
      </c>
      <c r="O107" s="21" t="n">
        <v>3</v>
      </c>
      <c r="P107" s="21" t="n">
        <v>4</v>
      </c>
      <c r="Q107" s="21" t="n">
        <v>4</v>
      </c>
      <c r="R107" s="21" t="n">
        <v>3</v>
      </c>
      <c r="S107" s="21" t="n">
        <v>3</v>
      </c>
      <c r="T107" s="21" t="n">
        <v>4</v>
      </c>
      <c r="U107" s="21" t="n">
        <v>3</v>
      </c>
      <c r="V107" s="21" t="n">
        <v>5</v>
      </c>
      <c r="W107" s="21" t="n">
        <v>4</v>
      </c>
      <c r="X107" s="21" t="n">
        <v>4</v>
      </c>
      <c r="Y107" s="22">
        <f>INT(A107)</f>
        <v/>
      </c>
      <c r="Z107" s="21">
        <f>IF(Y107&lt;DATE(2025,3,6),1,IF(Y107&lt;DATE(2025,3,13),2,3))</f>
        <v/>
      </c>
      <c r="AA107" s="21">
        <f>COUNTBLANK(B107:X107)</f>
        <v/>
      </c>
      <c r="AB107" s="21">
        <f>B107&amp;"|"&amp;C107&amp;"|"&amp;D107&amp;"|"&amp;E107&amp;"|"&amp;F107&amp;"|"&amp;G107&amp;"|"&amp;H107&amp;"|"&amp;I107&amp;"|"&amp;J107&amp;"|"&amp;K107&amp;"|"&amp;L107&amp;"|"&amp;M107&amp;"|"&amp;N107&amp;"|"&amp;O107&amp;"|"&amp;P107&amp;"|"&amp;Q107&amp;"|"&amp;R107&amp;"|"&amp;S107&amp;"|"&amp;T107&amp;"|"&amp;U107&amp;"|"&amp;V107&amp;"|"&amp;W107&amp;"|"&amp;X107</f>
        <v/>
      </c>
      <c r="AC107" s="21">
        <f>IF(COUNTIF($AB$2:AB107,AB107)&gt;1,1,0)</f>
        <v/>
      </c>
      <c r="AD107" s="23">
        <f>STDEV(F107:X107)</f>
        <v/>
      </c>
      <c r="AE107" s="21">
        <f>IF(OR(AA107&gt;=8,AC107=1,AD107=0),0,1)</f>
        <v/>
      </c>
      <c r="AF107" s="21">
        <f>IF(AE107=1,"",IF(AC107=1,"Trùng",IF(AA107&gt;=8,"Bỏ trống "&amp;AA107&amp;" ô","Chọn cùng một mức")))</f>
        <v/>
      </c>
      <c r="AG107" s="23">
        <f>IF($AE107=1,AVERAGE(F107:I107),"")</f>
        <v/>
      </c>
      <c r="AH107" s="23">
        <f>IF($AE107=1,AVERAGE(J107:M107),"")</f>
        <v/>
      </c>
      <c r="AI107" s="23">
        <f>IF($AE107=1,AVERAGE(N107:Q107),"")</f>
        <v/>
      </c>
      <c r="AJ107" s="23">
        <f>IF($AE107=1,AVERAGE(R107:U107),"")</f>
        <v/>
      </c>
      <c r="AK107" s="23">
        <f>IF($AE107=1,AVERAGE(V107:X107),"")</f>
        <v/>
      </c>
    </row>
    <row r="108">
      <c r="A108" s="20" t="n">
        <v>45728.99513888889</v>
      </c>
      <c r="B108" s="21" t="n">
        <v>4</v>
      </c>
      <c r="C108" s="21" t="n">
        <v>5</v>
      </c>
      <c r="D108" s="21" t="n">
        <v>4</v>
      </c>
      <c r="E108" s="21" t="n">
        <v>2</v>
      </c>
      <c r="F108" s="21" t="n"/>
      <c r="G108" s="21" t="n">
        <v>5</v>
      </c>
      <c r="H108" s="21" t="n">
        <v>2</v>
      </c>
      <c r="I108" s="21" t="n"/>
      <c r="J108" s="21" t="n"/>
      <c r="K108" s="21" t="n"/>
      <c r="L108" s="21" t="n"/>
      <c r="M108" s="21" t="n"/>
      <c r="N108" s="21" t="n"/>
      <c r="O108" s="21" t="n">
        <v>3</v>
      </c>
      <c r="P108" s="21" t="n"/>
      <c r="Q108" s="21" t="n"/>
      <c r="R108" s="21" t="n"/>
      <c r="S108" s="21" t="n"/>
      <c r="T108" s="21" t="n"/>
      <c r="U108" s="21" t="n"/>
      <c r="V108" s="21" t="n">
        <v>2</v>
      </c>
      <c r="W108" s="21" t="n"/>
      <c r="X108" s="21" t="n"/>
      <c r="Y108" s="22">
        <f>INT(A108)</f>
        <v/>
      </c>
      <c r="Z108" s="21">
        <f>IF(Y108&lt;DATE(2025,3,6),1,IF(Y108&lt;DATE(2025,3,13),2,3))</f>
        <v/>
      </c>
      <c r="AA108" s="21">
        <f>COUNTBLANK(B108:X108)</f>
        <v/>
      </c>
      <c r="AB108" s="21">
        <f>B108&amp;"|"&amp;C108&amp;"|"&amp;D108&amp;"|"&amp;E108&amp;"|"&amp;F108&amp;"|"&amp;G108&amp;"|"&amp;H108&amp;"|"&amp;I108&amp;"|"&amp;J108&amp;"|"&amp;K108&amp;"|"&amp;L108&amp;"|"&amp;M108&amp;"|"&amp;N108&amp;"|"&amp;O108&amp;"|"&amp;P108&amp;"|"&amp;Q108&amp;"|"&amp;R108&amp;"|"&amp;S108&amp;"|"&amp;T108&amp;"|"&amp;U108&amp;"|"&amp;V108&amp;"|"&amp;W108&amp;"|"&amp;X108</f>
        <v/>
      </c>
      <c r="AC108" s="21">
        <f>IF(COUNTIF($AB$2:AB108,AB108)&gt;1,1,0)</f>
        <v/>
      </c>
      <c r="AD108" s="23">
        <f>STDEV(F108:X108)</f>
        <v/>
      </c>
      <c r="AE108" s="21">
        <f>IF(OR(AA108&gt;=8,AC108=1,AD108=0),0,1)</f>
        <v/>
      </c>
      <c r="AF108" s="21">
        <f>IF(AE108=1,"",IF(AC108=1,"Trùng",IF(AA108&gt;=8,"Bỏ trống "&amp;AA108&amp;" ô","Chọn cùng một mức")))</f>
        <v/>
      </c>
      <c r="AG108" s="23">
        <f>IF($AE108=1,AVERAGE(F108:I108),"")</f>
        <v/>
      </c>
      <c r="AH108" s="23">
        <f>IF($AE108=1,AVERAGE(J108:M108),"")</f>
        <v/>
      </c>
      <c r="AI108" s="23">
        <f>IF($AE108=1,AVERAGE(N108:Q108),"")</f>
        <v/>
      </c>
      <c r="AJ108" s="23">
        <f>IF($AE108=1,AVERAGE(R108:U108),"")</f>
        <v/>
      </c>
      <c r="AK108" s="23">
        <f>IF($AE108=1,AVERAGE(V108:X108),"")</f>
        <v/>
      </c>
    </row>
    <row r="109">
      <c r="A109" s="20" t="n">
        <v>45729.00416666667</v>
      </c>
      <c r="B109" s="21" t="n">
        <v>2</v>
      </c>
      <c r="C109" s="21" t="n">
        <v>3</v>
      </c>
      <c r="D109" s="21" t="n">
        <v>1</v>
      </c>
      <c r="E109" s="21" t="n">
        <v>2</v>
      </c>
      <c r="F109" s="21" t="n">
        <v>3</v>
      </c>
      <c r="G109" s="21" t="n">
        <v>4</v>
      </c>
      <c r="H109" s="21" t="n">
        <v>3</v>
      </c>
      <c r="I109" s="21" t="n">
        <v>4</v>
      </c>
      <c r="J109" s="21" t="n">
        <v>3</v>
      </c>
      <c r="K109" s="21" t="n">
        <v>4</v>
      </c>
      <c r="L109" s="21" t="n">
        <v>4</v>
      </c>
      <c r="M109" s="21" t="n">
        <v>4</v>
      </c>
      <c r="N109" s="21" t="n">
        <v>3</v>
      </c>
      <c r="O109" s="21" t="n">
        <v>1</v>
      </c>
      <c r="P109" s="21" t="n"/>
      <c r="Q109" s="21" t="n">
        <v>1</v>
      </c>
      <c r="R109" s="21" t="n">
        <v>3</v>
      </c>
      <c r="S109" s="21" t="n">
        <v>3</v>
      </c>
      <c r="T109" s="21" t="n">
        <v>4</v>
      </c>
      <c r="U109" s="21" t="n">
        <v>4</v>
      </c>
      <c r="V109" s="21" t="n">
        <v>2</v>
      </c>
      <c r="W109" s="21" t="n">
        <v>3</v>
      </c>
      <c r="X109" s="21" t="n">
        <v>3</v>
      </c>
      <c r="Y109" s="22">
        <f>INT(A109)</f>
        <v/>
      </c>
      <c r="Z109" s="21">
        <f>IF(Y109&lt;DATE(2025,3,6),1,IF(Y109&lt;DATE(2025,3,13),2,3))</f>
        <v/>
      </c>
      <c r="AA109" s="21">
        <f>COUNTBLANK(B109:X109)</f>
        <v/>
      </c>
      <c r="AB109" s="21">
        <f>B109&amp;"|"&amp;C109&amp;"|"&amp;D109&amp;"|"&amp;E109&amp;"|"&amp;F109&amp;"|"&amp;G109&amp;"|"&amp;H109&amp;"|"&amp;I109&amp;"|"&amp;J109&amp;"|"&amp;K109&amp;"|"&amp;L109&amp;"|"&amp;M109&amp;"|"&amp;N109&amp;"|"&amp;O109&amp;"|"&amp;P109&amp;"|"&amp;Q109&amp;"|"&amp;R109&amp;"|"&amp;S109&amp;"|"&amp;T109&amp;"|"&amp;U109&amp;"|"&amp;V109&amp;"|"&amp;W109&amp;"|"&amp;X109</f>
        <v/>
      </c>
      <c r="AC109" s="21">
        <f>IF(COUNTIF($AB$2:AB109,AB109)&gt;1,1,0)</f>
        <v/>
      </c>
      <c r="AD109" s="23">
        <f>STDEV(F109:X109)</f>
        <v/>
      </c>
      <c r="AE109" s="21">
        <f>IF(OR(AA109&gt;=8,AC109=1,AD109=0),0,1)</f>
        <v/>
      </c>
      <c r="AF109" s="21">
        <f>IF(AE109=1,"",IF(AC109=1,"Trùng",IF(AA109&gt;=8,"Bỏ trống "&amp;AA109&amp;" ô","Chọn cùng một mức")))</f>
        <v/>
      </c>
      <c r="AG109" s="23">
        <f>IF($AE109=1,AVERAGE(F109:I109),"")</f>
        <v/>
      </c>
      <c r="AH109" s="23">
        <f>IF($AE109=1,AVERAGE(J109:M109),"")</f>
        <v/>
      </c>
      <c r="AI109" s="23">
        <f>IF($AE109=1,AVERAGE(N109:Q109),"")</f>
        <v/>
      </c>
      <c r="AJ109" s="23">
        <f>IF($AE109=1,AVERAGE(R109:U109),"")</f>
        <v/>
      </c>
      <c r="AK109" s="23">
        <f>IF($AE109=1,AVERAGE(V109:X109),"")</f>
        <v/>
      </c>
    </row>
    <row r="110">
      <c r="A110" s="20" t="n">
        <v>45729.02430555555</v>
      </c>
      <c r="B110" s="21" t="n">
        <v>1</v>
      </c>
      <c r="C110" s="21" t="n">
        <v>2</v>
      </c>
      <c r="D110" s="21" t="n">
        <v>1</v>
      </c>
      <c r="E110" s="21" t="n">
        <v>3</v>
      </c>
      <c r="F110" s="21" t="n">
        <v>3</v>
      </c>
      <c r="G110" s="21" t="n">
        <v>4</v>
      </c>
      <c r="H110" s="21" t="n">
        <v>3</v>
      </c>
      <c r="I110" s="21" t="n">
        <v>3</v>
      </c>
      <c r="J110" s="21" t="n">
        <v>3</v>
      </c>
      <c r="K110" s="21" t="n">
        <v>4</v>
      </c>
      <c r="L110" s="21" t="n">
        <v>2</v>
      </c>
      <c r="M110" s="21" t="n">
        <v>3</v>
      </c>
      <c r="N110" s="21" t="n">
        <v>3</v>
      </c>
      <c r="O110" s="21" t="n">
        <v>2</v>
      </c>
      <c r="P110" s="21" t="n">
        <v>3</v>
      </c>
      <c r="Q110" s="21" t="n">
        <v>4</v>
      </c>
      <c r="R110" s="21" t="n">
        <v>3</v>
      </c>
      <c r="S110" s="21" t="n">
        <v>4</v>
      </c>
      <c r="T110" s="21" t="n">
        <v>2</v>
      </c>
      <c r="U110" s="21" t="n">
        <v>3</v>
      </c>
      <c r="V110" s="21" t="n">
        <v>3</v>
      </c>
      <c r="W110" s="21" t="n">
        <v>3</v>
      </c>
      <c r="X110" s="21" t="n">
        <v>3</v>
      </c>
      <c r="Y110" s="22">
        <f>INT(A110)</f>
        <v/>
      </c>
      <c r="Z110" s="21">
        <f>IF(Y110&lt;DATE(2025,3,6),1,IF(Y110&lt;DATE(2025,3,13),2,3))</f>
        <v/>
      </c>
      <c r="AA110" s="21">
        <f>COUNTBLANK(B110:X110)</f>
        <v/>
      </c>
      <c r="AB110" s="21">
        <f>B110&amp;"|"&amp;C110&amp;"|"&amp;D110&amp;"|"&amp;E110&amp;"|"&amp;F110&amp;"|"&amp;G110&amp;"|"&amp;H110&amp;"|"&amp;I110&amp;"|"&amp;J110&amp;"|"&amp;K110&amp;"|"&amp;L110&amp;"|"&amp;M110&amp;"|"&amp;N110&amp;"|"&amp;O110&amp;"|"&amp;P110&amp;"|"&amp;Q110&amp;"|"&amp;R110&amp;"|"&amp;S110&amp;"|"&amp;T110&amp;"|"&amp;U110&amp;"|"&amp;V110&amp;"|"&amp;W110&amp;"|"&amp;X110</f>
        <v/>
      </c>
      <c r="AC110" s="21">
        <f>IF(COUNTIF($AB$2:AB110,AB110)&gt;1,1,0)</f>
        <v/>
      </c>
      <c r="AD110" s="23">
        <f>STDEV(F110:X110)</f>
        <v/>
      </c>
      <c r="AE110" s="21">
        <f>IF(OR(AA110&gt;=8,AC110=1,AD110=0),0,1)</f>
        <v/>
      </c>
      <c r="AF110" s="21">
        <f>IF(AE110=1,"",IF(AC110=1,"Trùng",IF(AA110&gt;=8,"Bỏ trống "&amp;AA110&amp;" ô","Chọn cùng một mức")))</f>
        <v/>
      </c>
      <c r="AG110" s="23">
        <f>IF($AE110=1,AVERAGE(F110:I110),"")</f>
        <v/>
      </c>
      <c r="AH110" s="23">
        <f>IF($AE110=1,AVERAGE(J110:M110),"")</f>
        <v/>
      </c>
      <c r="AI110" s="23">
        <f>IF($AE110=1,AVERAGE(N110:Q110),"")</f>
        <v/>
      </c>
      <c r="AJ110" s="23">
        <f>IF($AE110=1,AVERAGE(R110:U110),"")</f>
        <v/>
      </c>
      <c r="AK110" s="23">
        <f>IF($AE110=1,AVERAGE(V110:X110),"")</f>
        <v/>
      </c>
    </row>
    <row r="111">
      <c r="A111" s="20" t="n">
        <v>45729.04444444444</v>
      </c>
      <c r="B111" s="21" t="n">
        <v>2</v>
      </c>
      <c r="C111" s="21" t="n">
        <v>1</v>
      </c>
      <c r="D111" s="21" t="n">
        <v>2</v>
      </c>
      <c r="E111" s="21" t="n">
        <v>2</v>
      </c>
      <c r="F111" s="21" t="n">
        <v>4</v>
      </c>
      <c r="G111" s="21" t="n">
        <v>4</v>
      </c>
      <c r="H111" s="21" t="n">
        <v>3</v>
      </c>
      <c r="I111" s="21" t="n">
        <v>4</v>
      </c>
      <c r="J111" s="21" t="n">
        <v>5</v>
      </c>
      <c r="K111" s="21" t="n">
        <v>5</v>
      </c>
      <c r="L111" s="21" t="n">
        <v>4</v>
      </c>
      <c r="M111" s="21" t="n">
        <v>5</v>
      </c>
      <c r="N111" s="21" t="n">
        <v>3</v>
      </c>
      <c r="O111" s="21" t="n">
        <v>3</v>
      </c>
      <c r="P111" s="21" t="n">
        <v>3</v>
      </c>
      <c r="Q111" s="21" t="n">
        <v>3</v>
      </c>
      <c r="R111" s="21" t="n">
        <v>3</v>
      </c>
      <c r="S111" s="21" t="n">
        <v>4</v>
      </c>
      <c r="T111" s="21" t="n">
        <v>4</v>
      </c>
      <c r="U111" s="21" t="n">
        <v>4</v>
      </c>
      <c r="V111" s="21" t="n">
        <v>3</v>
      </c>
      <c r="W111" s="21" t="n">
        <v>3</v>
      </c>
      <c r="X111" s="21" t="n">
        <v>3</v>
      </c>
      <c r="Y111" s="22">
        <f>INT(A111)</f>
        <v/>
      </c>
      <c r="Z111" s="21">
        <f>IF(Y111&lt;DATE(2025,3,6),1,IF(Y111&lt;DATE(2025,3,13),2,3))</f>
        <v/>
      </c>
      <c r="AA111" s="21">
        <f>COUNTBLANK(B111:X111)</f>
        <v/>
      </c>
      <c r="AB111" s="21">
        <f>B111&amp;"|"&amp;C111&amp;"|"&amp;D111&amp;"|"&amp;E111&amp;"|"&amp;F111&amp;"|"&amp;G111&amp;"|"&amp;H111&amp;"|"&amp;I111&amp;"|"&amp;J111&amp;"|"&amp;K111&amp;"|"&amp;L111&amp;"|"&amp;M111&amp;"|"&amp;N111&amp;"|"&amp;O111&amp;"|"&amp;P111&amp;"|"&amp;Q111&amp;"|"&amp;R111&amp;"|"&amp;S111&amp;"|"&amp;T111&amp;"|"&amp;U111&amp;"|"&amp;V111&amp;"|"&amp;W111&amp;"|"&amp;X111</f>
        <v/>
      </c>
      <c r="AC111" s="21">
        <f>IF(COUNTIF($AB$2:AB111,AB111)&gt;1,1,0)</f>
        <v/>
      </c>
      <c r="AD111" s="23">
        <f>STDEV(F111:X111)</f>
        <v/>
      </c>
      <c r="AE111" s="21">
        <f>IF(OR(AA111&gt;=8,AC111=1,AD111=0),0,1)</f>
        <v/>
      </c>
      <c r="AF111" s="21">
        <f>IF(AE111=1,"",IF(AC111=1,"Trùng",IF(AA111&gt;=8,"Bỏ trống "&amp;AA111&amp;" ô","Chọn cùng một mức")))</f>
        <v/>
      </c>
      <c r="AG111" s="23">
        <f>IF($AE111=1,AVERAGE(F111:I111),"")</f>
        <v/>
      </c>
      <c r="AH111" s="23">
        <f>IF($AE111=1,AVERAGE(J111:M111),"")</f>
        <v/>
      </c>
      <c r="AI111" s="23">
        <f>IF($AE111=1,AVERAGE(N111:Q111),"")</f>
        <v/>
      </c>
      <c r="AJ111" s="23">
        <f>IF($AE111=1,AVERAGE(R111:U111),"")</f>
        <v/>
      </c>
      <c r="AK111" s="23">
        <f>IF($AE111=1,AVERAGE(V111:X111),"")</f>
        <v/>
      </c>
    </row>
    <row r="112">
      <c r="A112" s="20" t="n">
        <v>45729.05833333333</v>
      </c>
      <c r="B112" s="21" t="n">
        <v>1</v>
      </c>
      <c r="C112" s="21" t="n">
        <v>4</v>
      </c>
      <c r="D112" s="21" t="n">
        <v>1</v>
      </c>
      <c r="E112" s="21" t="n">
        <v>2</v>
      </c>
      <c r="F112" s="21" t="n">
        <v>2</v>
      </c>
      <c r="G112" s="21" t="n">
        <v>3</v>
      </c>
      <c r="H112" s="21" t="n">
        <v>3</v>
      </c>
      <c r="I112" s="21" t="n">
        <v>3</v>
      </c>
      <c r="J112" s="21" t="n">
        <v>2</v>
      </c>
      <c r="K112" s="21" t="n">
        <v>3</v>
      </c>
      <c r="L112" s="21" t="n">
        <v>2</v>
      </c>
      <c r="M112" s="21" t="n">
        <v>2</v>
      </c>
      <c r="N112" s="21" t="n">
        <v>3</v>
      </c>
      <c r="O112" s="21" t="n">
        <v>3</v>
      </c>
      <c r="P112" s="21" t="n">
        <v>3</v>
      </c>
      <c r="Q112" s="21" t="n">
        <v>4</v>
      </c>
      <c r="R112" s="21" t="n">
        <v>4</v>
      </c>
      <c r="S112" s="21" t="n">
        <v>4</v>
      </c>
      <c r="T112" s="21" t="n">
        <v>5</v>
      </c>
      <c r="U112" s="21" t="n">
        <v>5</v>
      </c>
      <c r="V112" s="21" t="n">
        <v>4</v>
      </c>
      <c r="W112" s="21" t="n">
        <v>4</v>
      </c>
      <c r="X112" s="21" t="n">
        <v>3</v>
      </c>
      <c r="Y112" s="22">
        <f>INT(A112)</f>
        <v/>
      </c>
      <c r="Z112" s="21">
        <f>IF(Y112&lt;DATE(2025,3,6),1,IF(Y112&lt;DATE(2025,3,13),2,3))</f>
        <v/>
      </c>
      <c r="AA112" s="21">
        <f>COUNTBLANK(B112:X112)</f>
        <v/>
      </c>
      <c r="AB112" s="21">
        <f>B112&amp;"|"&amp;C112&amp;"|"&amp;D112&amp;"|"&amp;E112&amp;"|"&amp;F112&amp;"|"&amp;G112&amp;"|"&amp;H112&amp;"|"&amp;I112&amp;"|"&amp;J112&amp;"|"&amp;K112&amp;"|"&amp;L112&amp;"|"&amp;M112&amp;"|"&amp;N112&amp;"|"&amp;O112&amp;"|"&amp;P112&amp;"|"&amp;Q112&amp;"|"&amp;R112&amp;"|"&amp;S112&amp;"|"&amp;T112&amp;"|"&amp;U112&amp;"|"&amp;V112&amp;"|"&amp;W112&amp;"|"&amp;X112</f>
        <v/>
      </c>
      <c r="AC112" s="21">
        <f>IF(COUNTIF($AB$2:AB112,AB112)&gt;1,1,0)</f>
        <v/>
      </c>
      <c r="AD112" s="23">
        <f>STDEV(F112:X112)</f>
        <v/>
      </c>
      <c r="AE112" s="21">
        <f>IF(OR(AA112&gt;=8,AC112=1,AD112=0),0,1)</f>
        <v/>
      </c>
      <c r="AF112" s="21">
        <f>IF(AE112=1,"",IF(AC112=1,"Trùng",IF(AA112&gt;=8,"Bỏ trống "&amp;AA112&amp;" ô","Chọn cùng một mức")))</f>
        <v/>
      </c>
      <c r="AG112" s="23">
        <f>IF($AE112=1,AVERAGE(F112:I112),"")</f>
        <v/>
      </c>
      <c r="AH112" s="23">
        <f>IF($AE112=1,AVERAGE(J112:M112),"")</f>
        <v/>
      </c>
      <c r="AI112" s="23">
        <f>IF($AE112=1,AVERAGE(N112:Q112),"")</f>
        <v/>
      </c>
      <c r="AJ112" s="23">
        <f>IF($AE112=1,AVERAGE(R112:U112),"")</f>
        <v/>
      </c>
      <c r="AK112" s="23">
        <f>IF($AE112=1,AVERAGE(V112:X112),"")</f>
        <v/>
      </c>
    </row>
    <row r="113">
      <c r="A113" s="20" t="n">
        <v>45729.175</v>
      </c>
      <c r="B113" s="21" t="n">
        <v>1</v>
      </c>
      <c r="C113" s="21" t="n">
        <v>1</v>
      </c>
      <c r="D113" s="21" t="n">
        <v>3</v>
      </c>
      <c r="E113" s="21" t="n">
        <v>1</v>
      </c>
      <c r="F113" s="21" t="n">
        <v>4</v>
      </c>
      <c r="G113" s="21" t="n">
        <v>3</v>
      </c>
      <c r="H113" s="21" t="n">
        <v>2</v>
      </c>
      <c r="I113" s="21" t="n">
        <v>3</v>
      </c>
      <c r="J113" s="21" t="n">
        <v>4</v>
      </c>
      <c r="K113" s="21" t="n">
        <v>4</v>
      </c>
      <c r="L113" s="21" t="n">
        <v>5</v>
      </c>
      <c r="M113" s="21" t="n">
        <v>4</v>
      </c>
      <c r="N113" s="21" t="n">
        <v>2</v>
      </c>
      <c r="O113" s="21" t="n">
        <v>2</v>
      </c>
      <c r="P113" s="21" t="n">
        <v>2</v>
      </c>
      <c r="Q113" s="21" t="n">
        <v>3</v>
      </c>
      <c r="R113" s="21" t="n">
        <v>3</v>
      </c>
      <c r="S113" s="21" t="n">
        <v>2</v>
      </c>
      <c r="T113" s="21" t="n">
        <v>2</v>
      </c>
      <c r="U113" s="21" t="n">
        <v>3</v>
      </c>
      <c r="V113" s="21" t="n">
        <v>2</v>
      </c>
      <c r="W113" s="21" t="n">
        <v>1</v>
      </c>
      <c r="X113" s="21" t="n">
        <v>2</v>
      </c>
      <c r="Y113" s="22">
        <f>INT(A113)</f>
        <v/>
      </c>
      <c r="Z113" s="21">
        <f>IF(Y113&lt;DATE(2025,3,6),1,IF(Y113&lt;DATE(2025,3,13),2,3))</f>
        <v/>
      </c>
      <c r="AA113" s="21">
        <f>COUNTBLANK(B113:X113)</f>
        <v/>
      </c>
      <c r="AB113" s="21">
        <f>B113&amp;"|"&amp;C113&amp;"|"&amp;D113&amp;"|"&amp;E113&amp;"|"&amp;F113&amp;"|"&amp;G113&amp;"|"&amp;H113&amp;"|"&amp;I113&amp;"|"&amp;J113&amp;"|"&amp;K113&amp;"|"&amp;L113&amp;"|"&amp;M113&amp;"|"&amp;N113&amp;"|"&amp;O113&amp;"|"&amp;P113&amp;"|"&amp;Q113&amp;"|"&amp;R113&amp;"|"&amp;S113&amp;"|"&amp;T113&amp;"|"&amp;U113&amp;"|"&amp;V113&amp;"|"&amp;W113&amp;"|"&amp;X113</f>
        <v/>
      </c>
      <c r="AC113" s="21">
        <f>IF(COUNTIF($AB$2:AB113,AB113)&gt;1,1,0)</f>
        <v/>
      </c>
      <c r="AD113" s="23">
        <f>STDEV(F113:X113)</f>
        <v/>
      </c>
      <c r="AE113" s="21">
        <f>IF(OR(AA113&gt;=8,AC113=1,AD113=0),0,1)</f>
        <v/>
      </c>
      <c r="AF113" s="21">
        <f>IF(AE113=1,"",IF(AC113=1,"Trùng",IF(AA113&gt;=8,"Bỏ trống "&amp;AA113&amp;" ô","Chọn cùng một mức")))</f>
        <v/>
      </c>
      <c r="AG113" s="23">
        <f>IF($AE113=1,AVERAGE(F113:I113),"")</f>
        <v/>
      </c>
      <c r="AH113" s="23">
        <f>IF($AE113=1,AVERAGE(J113:M113),"")</f>
        <v/>
      </c>
      <c r="AI113" s="23">
        <f>IF($AE113=1,AVERAGE(N113:Q113),"")</f>
        <v/>
      </c>
      <c r="AJ113" s="23">
        <f>IF($AE113=1,AVERAGE(R113:U113),"")</f>
        <v/>
      </c>
      <c r="AK113" s="23">
        <f>IF($AE113=1,AVERAGE(V113:X113),"")</f>
        <v/>
      </c>
    </row>
    <row r="114">
      <c r="A114" s="20" t="n">
        <v>45729.18819444445</v>
      </c>
      <c r="B114" s="21" t="n">
        <v>1</v>
      </c>
      <c r="C114" s="21" t="n">
        <v>1</v>
      </c>
      <c r="D114" s="21" t="n">
        <v>2</v>
      </c>
      <c r="E114" s="21" t="n">
        <v>3</v>
      </c>
      <c r="F114" s="21" t="n">
        <v>4</v>
      </c>
      <c r="G114" s="21" t="n">
        <v>3</v>
      </c>
      <c r="H114" s="21" t="n">
        <v>5</v>
      </c>
      <c r="I114" s="21" t="n">
        <v>5</v>
      </c>
      <c r="J114" s="21" t="n">
        <v>5</v>
      </c>
      <c r="K114" s="21" t="n">
        <v>5</v>
      </c>
      <c r="L114" s="21" t="n">
        <v>4</v>
      </c>
      <c r="M114" s="21" t="n">
        <v>4</v>
      </c>
      <c r="N114" s="21" t="n">
        <v>3</v>
      </c>
      <c r="O114" s="21" t="n">
        <v>4</v>
      </c>
      <c r="P114" s="21" t="n">
        <v>4</v>
      </c>
      <c r="Q114" s="21" t="n">
        <v>4</v>
      </c>
      <c r="R114" s="21" t="n">
        <v>4</v>
      </c>
      <c r="S114" s="21" t="n">
        <v>4</v>
      </c>
      <c r="T114" s="21" t="n">
        <v>3</v>
      </c>
      <c r="U114" s="21" t="n">
        <v>3</v>
      </c>
      <c r="V114" s="21" t="n">
        <v>4</v>
      </c>
      <c r="W114" s="21" t="n">
        <v>4</v>
      </c>
      <c r="X114" s="21" t="n">
        <v>3</v>
      </c>
      <c r="Y114" s="22">
        <f>INT(A114)</f>
        <v/>
      </c>
      <c r="Z114" s="21">
        <f>IF(Y114&lt;DATE(2025,3,6),1,IF(Y114&lt;DATE(2025,3,13),2,3))</f>
        <v/>
      </c>
      <c r="AA114" s="21">
        <f>COUNTBLANK(B114:X114)</f>
        <v/>
      </c>
      <c r="AB114" s="21">
        <f>B114&amp;"|"&amp;C114&amp;"|"&amp;D114&amp;"|"&amp;E114&amp;"|"&amp;F114&amp;"|"&amp;G114&amp;"|"&amp;H114&amp;"|"&amp;I114&amp;"|"&amp;J114&amp;"|"&amp;K114&amp;"|"&amp;L114&amp;"|"&amp;M114&amp;"|"&amp;N114&amp;"|"&amp;O114&amp;"|"&amp;P114&amp;"|"&amp;Q114&amp;"|"&amp;R114&amp;"|"&amp;S114&amp;"|"&amp;T114&amp;"|"&amp;U114&amp;"|"&amp;V114&amp;"|"&amp;W114&amp;"|"&amp;X114</f>
        <v/>
      </c>
      <c r="AC114" s="21">
        <f>IF(COUNTIF($AB$2:AB114,AB114)&gt;1,1,0)</f>
        <v/>
      </c>
      <c r="AD114" s="23">
        <f>STDEV(F114:X114)</f>
        <v/>
      </c>
      <c r="AE114" s="21">
        <f>IF(OR(AA114&gt;=8,AC114=1,AD114=0),0,1)</f>
        <v/>
      </c>
      <c r="AF114" s="21">
        <f>IF(AE114=1,"",IF(AC114=1,"Trùng",IF(AA114&gt;=8,"Bỏ trống "&amp;AA114&amp;" ô","Chọn cùng một mức")))</f>
        <v/>
      </c>
      <c r="AG114" s="23">
        <f>IF($AE114=1,AVERAGE(F114:I114),"")</f>
        <v/>
      </c>
      <c r="AH114" s="23">
        <f>IF($AE114=1,AVERAGE(J114:M114),"")</f>
        <v/>
      </c>
      <c r="AI114" s="23">
        <f>IF($AE114=1,AVERAGE(N114:Q114),"")</f>
        <v/>
      </c>
      <c r="AJ114" s="23">
        <f>IF($AE114=1,AVERAGE(R114:U114),"")</f>
        <v/>
      </c>
      <c r="AK114" s="23">
        <f>IF($AE114=1,AVERAGE(V114:X114),"")</f>
        <v/>
      </c>
    </row>
    <row r="115">
      <c r="A115" s="20" t="n">
        <v>45729.23819444444</v>
      </c>
      <c r="B115" s="21" t="n">
        <v>1</v>
      </c>
      <c r="C115" s="21" t="n">
        <v>1</v>
      </c>
      <c r="D115" s="21" t="n">
        <v>2</v>
      </c>
      <c r="E115" s="21" t="n">
        <v>2</v>
      </c>
      <c r="F115" s="21" t="n">
        <v>5</v>
      </c>
      <c r="G115" s="21" t="n">
        <v>5</v>
      </c>
      <c r="H115" s="21" t="n">
        <v>5</v>
      </c>
      <c r="I115" s="21" t="n">
        <v>4</v>
      </c>
      <c r="J115" s="21" t="n">
        <v>3</v>
      </c>
      <c r="K115" s="21" t="n">
        <v>3</v>
      </c>
      <c r="L115" s="21" t="n">
        <v>4</v>
      </c>
      <c r="M115" s="21" t="n">
        <v>2</v>
      </c>
      <c r="N115" s="21" t="n">
        <v>3</v>
      </c>
      <c r="O115" s="21" t="n">
        <v>2</v>
      </c>
      <c r="P115" s="21" t="n">
        <v>4</v>
      </c>
      <c r="Q115" s="21" t="n">
        <v>3</v>
      </c>
      <c r="R115" s="21" t="n">
        <v>4</v>
      </c>
      <c r="S115" s="21" t="n">
        <v>3</v>
      </c>
      <c r="T115" s="21" t="n">
        <v>2</v>
      </c>
      <c r="U115" s="21" t="n">
        <v>4</v>
      </c>
      <c r="V115" s="21" t="n">
        <v>4</v>
      </c>
      <c r="W115" s="21" t="n">
        <v>4</v>
      </c>
      <c r="X115" s="21" t="n">
        <v>4</v>
      </c>
      <c r="Y115" s="22">
        <f>INT(A115)</f>
        <v/>
      </c>
      <c r="Z115" s="21">
        <f>IF(Y115&lt;DATE(2025,3,6),1,IF(Y115&lt;DATE(2025,3,13),2,3))</f>
        <v/>
      </c>
      <c r="AA115" s="21">
        <f>COUNTBLANK(B115:X115)</f>
        <v/>
      </c>
      <c r="AB115" s="21">
        <f>B115&amp;"|"&amp;C115&amp;"|"&amp;D115&amp;"|"&amp;E115&amp;"|"&amp;F115&amp;"|"&amp;G115&amp;"|"&amp;H115&amp;"|"&amp;I115&amp;"|"&amp;J115&amp;"|"&amp;K115&amp;"|"&amp;L115&amp;"|"&amp;M115&amp;"|"&amp;N115&amp;"|"&amp;O115&amp;"|"&amp;P115&amp;"|"&amp;Q115&amp;"|"&amp;R115&amp;"|"&amp;S115&amp;"|"&amp;T115&amp;"|"&amp;U115&amp;"|"&amp;V115&amp;"|"&amp;W115&amp;"|"&amp;X115</f>
        <v/>
      </c>
      <c r="AC115" s="21">
        <f>IF(COUNTIF($AB$2:AB115,AB115)&gt;1,1,0)</f>
        <v/>
      </c>
      <c r="AD115" s="23">
        <f>STDEV(F115:X115)</f>
        <v/>
      </c>
      <c r="AE115" s="21">
        <f>IF(OR(AA115&gt;=8,AC115=1,AD115=0),0,1)</f>
        <v/>
      </c>
      <c r="AF115" s="21">
        <f>IF(AE115=1,"",IF(AC115=1,"Trùng",IF(AA115&gt;=8,"Bỏ trống "&amp;AA115&amp;" ô","Chọn cùng một mức")))</f>
        <v/>
      </c>
      <c r="AG115" s="23">
        <f>IF($AE115=1,AVERAGE(F115:I115),"")</f>
        <v/>
      </c>
      <c r="AH115" s="23">
        <f>IF($AE115=1,AVERAGE(J115:M115),"")</f>
        <v/>
      </c>
      <c r="AI115" s="23">
        <f>IF($AE115=1,AVERAGE(N115:Q115),"")</f>
        <v/>
      </c>
      <c r="AJ115" s="23">
        <f>IF($AE115=1,AVERAGE(R115:U115),"")</f>
        <v/>
      </c>
      <c r="AK115" s="23">
        <f>IF($AE115=1,AVERAGE(V115:X115),"")</f>
        <v/>
      </c>
    </row>
    <row r="116">
      <c r="A116" s="20" t="n">
        <v>45729.27638888889</v>
      </c>
      <c r="B116" s="21" t="n">
        <v>2</v>
      </c>
      <c r="C116" s="21" t="n">
        <v>3</v>
      </c>
      <c r="D116" s="21" t="n">
        <v>2</v>
      </c>
      <c r="E116" s="21" t="n">
        <v>3</v>
      </c>
      <c r="F116" s="21" t="n">
        <v>3</v>
      </c>
      <c r="G116" s="21" t="n">
        <v>3</v>
      </c>
      <c r="H116" s="21" t="n">
        <v>4</v>
      </c>
      <c r="I116" s="21" t="n">
        <v>4</v>
      </c>
      <c r="J116" s="21" t="n">
        <v>4</v>
      </c>
      <c r="K116" s="21" t="n">
        <v>5</v>
      </c>
      <c r="L116" s="21" t="n">
        <v>4</v>
      </c>
      <c r="M116" s="21" t="n">
        <v>3</v>
      </c>
      <c r="N116" s="21" t="n">
        <v>4</v>
      </c>
      <c r="O116" s="21" t="n">
        <v>3</v>
      </c>
      <c r="P116" s="21" t="n">
        <v>3</v>
      </c>
      <c r="Q116" s="21" t="n">
        <v>5</v>
      </c>
      <c r="R116" s="21" t="n">
        <v>4</v>
      </c>
      <c r="S116" s="21" t="n">
        <v>4</v>
      </c>
      <c r="T116" s="21" t="n">
        <v>5</v>
      </c>
      <c r="U116" s="21" t="n">
        <v>5</v>
      </c>
      <c r="V116" s="21" t="n">
        <v>5</v>
      </c>
      <c r="W116" s="21" t="n">
        <v>4</v>
      </c>
      <c r="X116" s="21" t="n">
        <v>5</v>
      </c>
      <c r="Y116" s="22">
        <f>INT(A116)</f>
        <v/>
      </c>
      <c r="Z116" s="21">
        <f>IF(Y116&lt;DATE(2025,3,6),1,IF(Y116&lt;DATE(2025,3,13),2,3))</f>
        <v/>
      </c>
      <c r="AA116" s="21">
        <f>COUNTBLANK(B116:X116)</f>
        <v/>
      </c>
      <c r="AB116" s="21">
        <f>B116&amp;"|"&amp;C116&amp;"|"&amp;D116&amp;"|"&amp;E116&amp;"|"&amp;F116&amp;"|"&amp;G116&amp;"|"&amp;H116&amp;"|"&amp;I116&amp;"|"&amp;J116&amp;"|"&amp;K116&amp;"|"&amp;L116&amp;"|"&amp;M116&amp;"|"&amp;N116&amp;"|"&amp;O116&amp;"|"&amp;P116&amp;"|"&amp;Q116&amp;"|"&amp;R116&amp;"|"&amp;S116&amp;"|"&amp;T116&amp;"|"&amp;U116&amp;"|"&amp;V116&amp;"|"&amp;W116&amp;"|"&amp;X116</f>
        <v/>
      </c>
      <c r="AC116" s="21">
        <f>IF(COUNTIF($AB$2:AB116,AB116)&gt;1,1,0)</f>
        <v/>
      </c>
      <c r="AD116" s="23">
        <f>STDEV(F116:X116)</f>
        <v/>
      </c>
      <c r="AE116" s="21">
        <f>IF(OR(AA116&gt;=8,AC116=1,AD116=0),0,1)</f>
        <v/>
      </c>
      <c r="AF116" s="21">
        <f>IF(AE116=1,"",IF(AC116=1,"Trùng",IF(AA116&gt;=8,"Bỏ trống "&amp;AA116&amp;" ô","Chọn cùng một mức")))</f>
        <v/>
      </c>
      <c r="AG116" s="23">
        <f>IF($AE116=1,AVERAGE(F116:I116),"")</f>
        <v/>
      </c>
      <c r="AH116" s="23">
        <f>IF($AE116=1,AVERAGE(J116:M116),"")</f>
        <v/>
      </c>
      <c r="AI116" s="23">
        <f>IF($AE116=1,AVERAGE(N116:Q116),"")</f>
        <v/>
      </c>
      <c r="AJ116" s="23">
        <f>IF($AE116=1,AVERAGE(R116:U116),"")</f>
        <v/>
      </c>
      <c r="AK116" s="23">
        <f>IF($AE116=1,AVERAGE(V116:X116),"")</f>
        <v/>
      </c>
    </row>
    <row r="117">
      <c r="A117" s="20" t="n">
        <v>45729.32777777778</v>
      </c>
      <c r="B117" s="21" t="n">
        <v>2</v>
      </c>
      <c r="C117" s="21" t="n">
        <v>1</v>
      </c>
      <c r="D117" s="21" t="n">
        <v>3</v>
      </c>
      <c r="E117" s="21" t="n">
        <v>3</v>
      </c>
      <c r="F117" s="21" t="n">
        <v>5</v>
      </c>
      <c r="G117" s="21" t="n">
        <v>4</v>
      </c>
      <c r="H117" s="21" t="n">
        <v>4</v>
      </c>
      <c r="I117" s="21" t="n">
        <v>5</v>
      </c>
      <c r="J117" s="21" t="n">
        <v>3</v>
      </c>
      <c r="K117" s="21" t="n">
        <v>3</v>
      </c>
      <c r="L117" s="21" t="n">
        <v>5</v>
      </c>
      <c r="M117" s="21" t="n">
        <v>5</v>
      </c>
      <c r="N117" s="21" t="n">
        <v>4</v>
      </c>
      <c r="O117" s="21" t="n">
        <v>4</v>
      </c>
      <c r="P117" s="21" t="n">
        <v>5</v>
      </c>
      <c r="Q117" s="21" t="n">
        <v>5</v>
      </c>
      <c r="R117" s="21" t="n">
        <v>4</v>
      </c>
      <c r="S117" s="21" t="n">
        <v>3</v>
      </c>
      <c r="T117" s="21" t="n">
        <v>3</v>
      </c>
      <c r="U117" s="21" t="n">
        <v>3</v>
      </c>
      <c r="V117" s="21" t="n">
        <v>3</v>
      </c>
      <c r="W117" s="21" t="n">
        <v>4</v>
      </c>
      <c r="X117" s="21" t="n">
        <v>4</v>
      </c>
      <c r="Y117" s="22">
        <f>INT(A117)</f>
        <v/>
      </c>
      <c r="Z117" s="21">
        <f>IF(Y117&lt;DATE(2025,3,6),1,IF(Y117&lt;DATE(2025,3,13),2,3))</f>
        <v/>
      </c>
      <c r="AA117" s="21">
        <f>COUNTBLANK(B117:X117)</f>
        <v/>
      </c>
      <c r="AB117" s="21">
        <f>B117&amp;"|"&amp;C117&amp;"|"&amp;D117&amp;"|"&amp;E117&amp;"|"&amp;F117&amp;"|"&amp;G117&amp;"|"&amp;H117&amp;"|"&amp;I117&amp;"|"&amp;J117&amp;"|"&amp;K117&amp;"|"&amp;L117&amp;"|"&amp;M117&amp;"|"&amp;N117&amp;"|"&amp;O117&amp;"|"&amp;P117&amp;"|"&amp;Q117&amp;"|"&amp;R117&amp;"|"&amp;S117&amp;"|"&amp;T117&amp;"|"&amp;U117&amp;"|"&amp;V117&amp;"|"&amp;W117&amp;"|"&amp;X117</f>
        <v/>
      </c>
      <c r="AC117" s="21">
        <f>IF(COUNTIF($AB$2:AB117,AB117)&gt;1,1,0)</f>
        <v/>
      </c>
      <c r="AD117" s="23">
        <f>STDEV(F117:X117)</f>
        <v/>
      </c>
      <c r="AE117" s="21">
        <f>IF(OR(AA117&gt;=8,AC117=1,AD117=0),0,1)</f>
        <v/>
      </c>
      <c r="AF117" s="21">
        <f>IF(AE117=1,"",IF(AC117=1,"Trùng",IF(AA117&gt;=8,"Bỏ trống "&amp;AA117&amp;" ô","Chọn cùng một mức")))</f>
        <v/>
      </c>
      <c r="AG117" s="23">
        <f>IF($AE117=1,AVERAGE(F117:I117),"")</f>
        <v/>
      </c>
      <c r="AH117" s="23">
        <f>IF($AE117=1,AVERAGE(J117:M117),"")</f>
        <v/>
      </c>
      <c r="AI117" s="23">
        <f>IF($AE117=1,AVERAGE(N117:Q117),"")</f>
        <v/>
      </c>
      <c r="AJ117" s="23">
        <f>IF($AE117=1,AVERAGE(R117:U117),"")</f>
        <v/>
      </c>
      <c r="AK117" s="23">
        <f>IF($AE117=1,AVERAGE(V117:X117),"")</f>
        <v/>
      </c>
    </row>
    <row r="118">
      <c r="A118" s="20" t="n">
        <v>45729.42083333333</v>
      </c>
      <c r="B118" s="21" t="n">
        <v>1</v>
      </c>
      <c r="C118" s="21" t="n">
        <v>1</v>
      </c>
      <c r="D118" s="21" t="n">
        <v>2</v>
      </c>
      <c r="E118" s="21" t="n">
        <v>3</v>
      </c>
      <c r="F118" s="21" t="n">
        <v>5</v>
      </c>
      <c r="G118" s="21" t="n">
        <v>4</v>
      </c>
      <c r="H118" s="21" t="n">
        <v>4</v>
      </c>
      <c r="I118" s="21" t="n">
        <v>4</v>
      </c>
      <c r="J118" s="21" t="n">
        <v>5</v>
      </c>
      <c r="K118" s="21" t="n">
        <v>5</v>
      </c>
      <c r="L118" s="21" t="n">
        <v>4</v>
      </c>
      <c r="M118" s="21" t="n">
        <v>5</v>
      </c>
      <c r="N118" s="21" t="n">
        <v>5</v>
      </c>
      <c r="O118" s="21" t="n">
        <v>5</v>
      </c>
      <c r="P118" s="21" t="n">
        <v>5</v>
      </c>
      <c r="Q118" s="21" t="n">
        <v>5</v>
      </c>
      <c r="R118" s="21" t="n">
        <v>4</v>
      </c>
      <c r="S118" s="21" t="n">
        <v>5</v>
      </c>
      <c r="T118" s="21" t="n">
        <v>5</v>
      </c>
      <c r="U118" s="21" t="n">
        <v>4</v>
      </c>
      <c r="V118" s="21" t="n">
        <v>5</v>
      </c>
      <c r="W118" s="21" t="n">
        <v>5</v>
      </c>
      <c r="X118" s="21" t="n">
        <v>4</v>
      </c>
      <c r="Y118" s="22">
        <f>INT(A118)</f>
        <v/>
      </c>
      <c r="Z118" s="21">
        <f>IF(Y118&lt;DATE(2025,3,6),1,IF(Y118&lt;DATE(2025,3,13),2,3))</f>
        <v/>
      </c>
      <c r="AA118" s="21">
        <f>COUNTBLANK(B118:X118)</f>
        <v/>
      </c>
      <c r="AB118" s="21">
        <f>B118&amp;"|"&amp;C118&amp;"|"&amp;D118&amp;"|"&amp;E118&amp;"|"&amp;F118&amp;"|"&amp;G118&amp;"|"&amp;H118&amp;"|"&amp;I118&amp;"|"&amp;J118&amp;"|"&amp;K118&amp;"|"&amp;L118&amp;"|"&amp;M118&amp;"|"&amp;N118&amp;"|"&amp;O118&amp;"|"&amp;P118&amp;"|"&amp;Q118&amp;"|"&amp;R118&amp;"|"&amp;S118&amp;"|"&amp;T118&amp;"|"&amp;U118&amp;"|"&amp;V118&amp;"|"&amp;W118&amp;"|"&amp;X118</f>
        <v/>
      </c>
      <c r="AC118" s="21">
        <f>IF(COUNTIF($AB$2:AB118,AB118)&gt;1,1,0)</f>
        <v/>
      </c>
      <c r="AD118" s="23">
        <f>STDEV(F118:X118)</f>
        <v/>
      </c>
      <c r="AE118" s="21">
        <f>IF(OR(AA118&gt;=8,AC118=1,AD118=0),0,1)</f>
        <v/>
      </c>
      <c r="AF118" s="21">
        <f>IF(AE118=1,"",IF(AC118=1,"Trùng",IF(AA118&gt;=8,"Bỏ trống "&amp;AA118&amp;" ô","Chọn cùng một mức")))</f>
        <v/>
      </c>
      <c r="AG118" s="23">
        <f>IF($AE118=1,AVERAGE(F118:I118),"")</f>
        <v/>
      </c>
      <c r="AH118" s="23">
        <f>IF($AE118=1,AVERAGE(J118:M118),"")</f>
        <v/>
      </c>
      <c r="AI118" s="23">
        <f>IF($AE118=1,AVERAGE(N118:Q118),"")</f>
        <v/>
      </c>
      <c r="AJ118" s="23">
        <f>IF($AE118=1,AVERAGE(R118:U118),"")</f>
        <v/>
      </c>
      <c r="AK118" s="23">
        <f>IF($AE118=1,AVERAGE(V118:X118),"")</f>
        <v/>
      </c>
    </row>
    <row r="119">
      <c r="A119" s="20" t="n">
        <v>45729.69166666667</v>
      </c>
      <c r="B119" s="21" t="n">
        <v>2</v>
      </c>
      <c r="C119" s="21" t="n">
        <v>4</v>
      </c>
      <c r="D119" s="21" t="n">
        <v>1</v>
      </c>
      <c r="E119" s="21" t="n">
        <v>2</v>
      </c>
      <c r="F119" s="21" t="n">
        <v>5</v>
      </c>
      <c r="G119" s="21" t="n">
        <v>5</v>
      </c>
      <c r="H119" s="21" t="n">
        <v>5</v>
      </c>
      <c r="I119" s="21" t="n">
        <v>5</v>
      </c>
      <c r="J119" s="21" t="n">
        <v>4</v>
      </c>
      <c r="K119" s="21" t="n">
        <v>4</v>
      </c>
      <c r="L119" s="21" t="n">
        <v>4</v>
      </c>
      <c r="M119" s="21" t="n">
        <v>5</v>
      </c>
      <c r="N119" s="21" t="n">
        <v>3</v>
      </c>
      <c r="O119" s="21" t="n">
        <v>3</v>
      </c>
      <c r="P119" s="21" t="n">
        <v>4</v>
      </c>
      <c r="Q119" s="21" t="n">
        <v>3</v>
      </c>
      <c r="R119" s="21" t="n">
        <v>4</v>
      </c>
      <c r="S119" s="21" t="n">
        <v>4</v>
      </c>
      <c r="T119" s="21" t="n">
        <v>4</v>
      </c>
      <c r="U119" s="21" t="n">
        <v>5</v>
      </c>
      <c r="V119" s="21" t="n">
        <v>4</v>
      </c>
      <c r="W119" s="21" t="n">
        <v>4</v>
      </c>
      <c r="X119" s="21" t="n">
        <v>3</v>
      </c>
      <c r="Y119" s="22">
        <f>INT(A119)</f>
        <v/>
      </c>
      <c r="Z119" s="21">
        <f>IF(Y119&lt;DATE(2025,3,6),1,IF(Y119&lt;DATE(2025,3,13),2,3))</f>
        <v/>
      </c>
      <c r="AA119" s="21">
        <f>COUNTBLANK(B119:X119)</f>
        <v/>
      </c>
      <c r="AB119" s="21">
        <f>B119&amp;"|"&amp;C119&amp;"|"&amp;D119&amp;"|"&amp;E119&amp;"|"&amp;F119&amp;"|"&amp;G119&amp;"|"&amp;H119&amp;"|"&amp;I119&amp;"|"&amp;J119&amp;"|"&amp;K119&amp;"|"&amp;L119&amp;"|"&amp;M119&amp;"|"&amp;N119&amp;"|"&amp;O119&amp;"|"&amp;P119&amp;"|"&amp;Q119&amp;"|"&amp;R119&amp;"|"&amp;S119&amp;"|"&amp;T119&amp;"|"&amp;U119&amp;"|"&amp;V119&amp;"|"&amp;W119&amp;"|"&amp;X119</f>
        <v/>
      </c>
      <c r="AC119" s="21">
        <f>IF(COUNTIF($AB$2:AB119,AB119)&gt;1,1,0)</f>
        <v/>
      </c>
      <c r="AD119" s="23">
        <f>STDEV(F119:X119)</f>
        <v/>
      </c>
      <c r="AE119" s="21">
        <f>IF(OR(AA119&gt;=8,AC119=1,AD119=0),0,1)</f>
        <v/>
      </c>
      <c r="AF119" s="21">
        <f>IF(AE119=1,"",IF(AC119=1,"Trùng",IF(AA119&gt;=8,"Bỏ trống "&amp;AA119&amp;" ô","Chọn cùng một mức")))</f>
        <v/>
      </c>
      <c r="AG119" s="23">
        <f>IF($AE119=1,AVERAGE(F119:I119),"")</f>
        <v/>
      </c>
      <c r="AH119" s="23">
        <f>IF($AE119=1,AVERAGE(J119:M119),"")</f>
        <v/>
      </c>
      <c r="AI119" s="23">
        <f>IF($AE119=1,AVERAGE(N119:Q119),"")</f>
        <v/>
      </c>
      <c r="AJ119" s="23">
        <f>IF($AE119=1,AVERAGE(R119:U119),"")</f>
        <v/>
      </c>
      <c r="AK119" s="23">
        <f>IF($AE119=1,AVERAGE(V119:X119),"")</f>
        <v/>
      </c>
    </row>
    <row r="120">
      <c r="A120" s="20" t="n">
        <v>45729.69930555556</v>
      </c>
      <c r="B120" s="21" t="n">
        <v>1</v>
      </c>
      <c r="C120" s="21" t="n">
        <v>4</v>
      </c>
      <c r="D120" s="21" t="n">
        <v>2</v>
      </c>
      <c r="E120" s="21" t="n">
        <v>1</v>
      </c>
      <c r="F120" s="21" t="n">
        <v>5</v>
      </c>
      <c r="G120" s="21" t="n">
        <v>4</v>
      </c>
      <c r="H120" s="21" t="n">
        <v>4</v>
      </c>
      <c r="I120" s="21" t="n">
        <v>5</v>
      </c>
      <c r="J120" s="21" t="n">
        <v>4</v>
      </c>
      <c r="K120" s="21" t="n">
        <v>5</v>
      </c>
      <c r="L120" s="21" t="n">
        <v>5</v>
      </c>
      <c r="M120" s="21" t="n">
        <v>5</v>
      </c>
      <c r="N120" s="21" t="n">
        <v>3</v>
      </c>
      <c r="O120" s="21" t="n">
        <v>4</v>
      </c>
      <c r="P120" s="21" t="n">
        <v>5</v>
      </c>
      <c r="Q120" s="21" t="n">
        <v>4</v>
      </c>
      <c r="R120" s="21" t="n">
        <v>5</v>
      </c>
      <c r="S120" s="21" t="n">
        <v>5</v>
      </c>
      <c r="T120" s="21" t="n">
        <v>4</v>
      </c>
      <c r="U120" s="21" t="n">
        <v>3</v>
      </c>
      <c r="V120" s="21" t="n">
        <v>5</v>
      </c>
      <c r="W120" s="21" t="n">
        <v>5</v>
      </c>
      <c r="X120" s="21" t="n">
        <v>5</v>
      </c>
      <c r="Y120" s="22">
        <f>INT(A120)</f>
        <v/>
      </c>
      <c r="Z120" s="21">
        <f>IF(Y120&lt;DATE(2025,3,6),1,IF(Y120&lt;DATE(2025,3,13),2,3))</f>
        <v/>
      </c>
      <c r="AA120" s="21">
        <f>COUNTBLANK(B120:X120)</f>
        <v/>
      </c>
      <c r="AB120" s="21">
        <f>B120&amp;"|"&amp;C120&amp;"|"&amp;D120&amp;"|"&amp;E120&amp;"|"&amp;F120&amp;"|"&amp;G120&amp;"|"&amp;H120&amp;"|"&amp;I120&amp;"|"&amp;J120&amp;"|"&amp;K120&amp;"|"&amp;L120&amp;"|"&amp;M120&amp;"|"&amp;N120&amp;"|"&amp;O120&amp;"|"&amp;P120&amp;"|"&amp;Q120&amp;"|"&amp;R120&amp;"|"&amp;S120&amp;"|"&amp;T120&amp;"|"&amp;U120&amp;"|"&amp;V120&amp;"|"&amp;W120&amp;"|"&amp;X120</f>
        <v/>
      </c>
      <c r="AC120" s="21">
        <f>IF(COUNTIF($AB$2:AB120,AB120)&gt;1,1,0)</f>
        <v/>
      </c>
      <c r="AD120" s="23">
        <f>STDEV(F120:X120)</f>
        <v/>
      </c>
      <c r="AE120" s="21">
        <f>IF(OR(AA120&gt;=8,AC120=1,AD120=0),0,1)</f>
        <v/>
      </c>
      <c r="AF120" s="21">
        <f>IF(AE120=1,"",IF(AC120=1,"Trùng",IF(AA120&gt;=8,"Bỏ trống "&amp;AA120&amp;" ô","Chọn cùng một mức")))</f>
        <v/>
      </c>
      <c r="AG120" s="23">
        <f>IF($AE120=1,AVERAGE(F120:I120),"")</f>
        <v/>
      </c>
      <c r="AH120" s="23">
        <f>IF($AE120=1,AVERAGE(J120:M120),"")</f>
        <v/>
      </c>
      <c r="AI120" s="23">
        <f>IF($AE120=1,AVERAGE(N120:Q120),"")</f>
        <v/>
      </c>
      <c r="AJ120" s="23">
        <f>IF($AE120=1,AVERAGE(R120:U120),"")</f>
        <v/>
      </c>
      <c r="AK120" s="23">
        <f>IF($AE120=1,AVERAGE(V120:X120),"")</f>
        <v/>
      </c>
    </row>
    <row r="121">
      <c r="A121" s="20" t="n">
        <v>45729.825</v>
      </c>
      <c r="B121" s="21" t="n">
        <v>2</v>
      </c>
      <c r="C121" s="21" t="n">
        <v>3</v>
      </c>
      <c r="D121" s="21" t="n">
        <v>1</v>
      </c>
      <c r="E121" s="21" t="n">
        <v>3</v>
      </c>
      <c r="F121" s="21" t="n">
        <v>4</v>
      </c>
      <c r="G121" s="21" t="n">
        <v>3</v>
      </c>
      <c r="H121" s="21" t="n">
        <v>4</v>
      </c>
      <c r="I121" s="21" t="n">
        <v>4</v>
      </c>
      <c r="J121" s="21" t="n">
        <v>4</v>
      </c>
      <c r="K121" s="21" t="n">
        <v>3</v>
      </c>
      <c r="L121" s="21" t="n">
        <v>4</v>
      </c>
      <c r="M121" s="21" t="n">
        <v>4</v>
      </c>
      <c r="N121" s="21" t="n">
        <v>3</v>
      </c>
      <c r="O121" s="21" t="n">
        <v>4</v>
      </c>
      <c r="P121" s="21" t="n">
        <v>5</v>
      </c>
      <c r="Q121" s="21" t="n">
        <v>4</v>
      </c>
      <c r="R121" s="21" t="n">
        <v>2</v>
      </c>
      <c r="S121" s="21" t="n">
        <v>1</v>
      </c>
      <c r="T121" s="21" t="n">
        <v>2</v>
      </c>
      <c r="U121" s="21" t="n">
        <v>1</v>
      </c>
      <c r="V121" s="21" t="n">
        <v>3</v>
      </c>
      <c r="W121" s="21" t="n">
        <v>3</v>
      </c>
      <c r="X121" s="21" t="n">
        <v>3</v>
      </c>
      <c r="Y121" s="22">
        <f>INT(A121)</f>
        <v/>
      </c>
      <c r="Z121" s="21">
        <f>IF(Y121&lt;DATE(2025,3,6),1,IF(Y121&lt;DATE(2025,3,13),2,3))</f>
        <v/>
      </c>
      <c r="AA121" s="21">
        <f>COUNTBLANK(B121:X121)</f>
        <v/>
      </c>
      <c r="AB121" s="21">
        <f>B121&amp;"|"&amp;C121&amp;"|"&amp;D121&amp;"|"&amp;E121&amp;"|"&amp;F121&amp;"|"&amp;G121&amp;"|"&amp;H121&amp;"|"&amp;I121&amp;"|"&amp;J121&amp;"|"&amp;K121&amp;"|"&amp;L121&amp;"|"&amp;M121&amp;"|"&amp;N121&amp;"|"&amp;O121&amp;"|"&amp;P121&amp;"|"&amp;Q121&amp;"|"&amp;R121&amp;"|"&amp;S121&amp;"|"&amp;T121&amp;"|"&amp;U121&amp;"|"&amp;V121&amp;"|"&amp;W121&amp;"|"&amp;X121</f>
        <v/>
      </c>
      <c r="AC121" s="21">
        <f>IF(COUNTIF($AB$2:AB121,AB121)&gt;1,1,0)</f>
        <v/>
      </c>
      <c r="AD121" s="23">
        <f>STDEV(F121:X121)</f>
        <v/>
      </c>
      <c r="AE121" s="21">
        <f>IF(OR(AA121&gt;=8,AC121=1,AD121=0),0,1)</f>
        <v/>
      </c>
      <c r="AF121" s="21">
        <f>IF(AE121=1,"",IF(AC121=1,"Trùng",IF(AA121&gt;=8,"Bỏ trống "&amp;AA121&amp;" ô","Chọn cùng một mức")))</f>
        <v/>
      </c>
      <c r="AG121" s="23">
        <f>IF($AE121=1,AVERAGE(F121:I121),"")</f>
        <v/>
      </c>
      <c r="AH121" s="23">
        <f>IF($AE121=1,AVERAGE(J121:M121),"")</f>
        <v/>
      </c>
      <c r="AI121" s="23">
        <f>IF($AE121=1,AVERAGE(N121:Q121),"")</f>
        <v/>
      </c>
      <c r="AJ121" s="23">
        <f>IF($AE121=1,AVERAGE(R121:U121),"")</f>
        <v/>
      </c>
      <c r="AK121" s="23">
        <f>IF($AE121=1,AVERAGE(V121:X121),"")</f>
        <v/>
      </c>
    </row>
    <row r="122">
      <c r="A122" s="20" t="n">
        <v>45729.86319444444</v>
      </c>
      <c r="B122" s="21" t="n">
        <v>1</v>
      </c>
      <c r="C122" s="21" t="n">
        <v>1</v>
      </c>
      <c r="D122" s="21" t="n">
        <v>1</v>
      </c>
      <c r="E122" s="21" t="n">
        <v>2</v>
      </c>
      <c r="F122" s="21" t="n">
        <v>3</v>
      </c>
      <c r="G122" s="21" t="n">
        <v>3</v>
      </c>
      <c r="H122" s="21" t="n">
        <v>4</v>
      </c>
      <c r="I122" s="21" t="n">
        <v>3</v>
      </c>
      <c r="J122" s="21" t="n">
        <v>3</v>
      </c>
      <c r="K122" s="21" t="n">
        <v>3</v>
      </c>
      <c r="L122" s="21" t="n">
        <v>4</v>
      </c>
      <c r="M122" s="21" t="n">
        <v>3</v>
      </c>
      <c r="N122" s="21" t="n">
        <v>5</v>
      </c>
      <c r="O122" s="21" t="n">
        <v>3</v>
      </c>
      <c r="P122" s="21" t="n">
        <v>3</v>
      </c>
      <c r="Q122" s="21" t="n">
        <v>4</v>
      </c>
      <c r="R122" s="21" t="n">
        <v>4</v>
      </c>
      <c r="S122" s="21" t="n">
        <v>3</v>
      </c>
      <c r="T122" s="21" t="n">
        <v>3</v>
      </c>
      <c r="U122" s="21" t="n">
        <v>3</v>
      </c>
      <c r="V122" s="21" t="n">
        <v>3</v>
      </c>
      <c r="W122" s="21" t="n">
        <v>3</v>
      </c>
      <c r="X122" s="21" t="n">
        <v>4</v>
      </c>
      <c r="Y122" s="22">
        <f>INT(A122)</f>
        <v/>
      </c>
      <c r="Z122" s="21">
        <f>IF(Y122&lt;DATE(2025,3,6),1,IF(Y122&lt;DATE(2025,3,13),2,3))</f>
        <v/>
      </c>
      <c r="AA122" s="21">
        <f>COUNTBLANK(B122:X122)</f>
        <v/>
      </c>
      <c r="AB122" s="21">
        <f>B122&amp;"|"&amp;C122&amp;"|"&amp;D122&amp;"|"&amp;E122&amp;"|"&amp;F122&amp;"|"&amp;G122&amp;"|"&amp;H122&amp;"|"&amp;I122&amp;"|"&amp;J122&amp;"|"&amp;K122&amp;"|"&amp;L122&amp;"|"&amp;M122&amp;"|"&amp;N122&amp;"|"&amp;O122&amp;"|"&amp;P122&amp;"|"&amp;Q122&amp;"|"&amp;R122&amp;"|"&amp;S122&amp;"|"&amp;T122&amp;"|"&amp;U122&amp;"|"&amp;V122&amp;"|"&amp;W122&amp;"|"&amp;X122</f>
        <v/>
      </c>
      <c r="AC122" s="21">
        <f>IF(COUNTIF($AB$2:AB122,AB122)&gt;1,1,0)</f>
        <v/>
      </c>
      <c r="AD122" s="23">
        <f>STDEV(F122:X122)</f>
        <v/>
      </c>
      <c r="AE122" s="21">
        <f>IF(OR(AA122&gt;=8,AC122=1,AD122=0),0,1)</f>
        <v/>
      </c>
      <c r="AF122" s="21">
        <f>IF(AE122=1,"",IF(AC122=1,"Trùng",IF(AA122&gt;=8,"Bỏ trống "&amp;AA122&amp;" ô","Chọn cùng một mức")))</f>
        <v/>
      </c>
      <c r="AG122" s="23">
        <f>IF($AE122=1,AVERAGE(F122:I122),"")</f>
        <v/>
      </c>
      <c r="AH122" s="23">
        <f>IF($AE122=1,AVERAGE(J122:M122),"")</f>
        <v/>
      </c>
      <c r="AI122" s="23">
        <f>IF($AE122=1,AVERAGE(N122:Q122),"")</f>
        <v/>
      </c>
      <c r="AJ122" s="23">
        <f>IF($AE122=1,AVERAGE(R122:U122),"")</f>
        <v/>
      </c>
      <c r="AK122" s="23">
        <f>IF($AE122=1,AVERAGE(V122:X122),"")</f>
        <v/>
      </c>
    </row>
    <row r="123">
      <c r="A123" s="20" t="n">
        <v>45730.00069444445</v>
      </c>
      <c r="B123" s="21" t="n">
        <v>1</v>
      </c>
      <c r="C123" s="21" t="n">
        <v>3</v>
      </c>
      <c r="D123" s="21" t="n">
        <v>1</v>
      </c>
      <c r="E123" s="21" t="n">
        <v>2</v>
      </c>
      <c r="F123" s="21" t="n">
        <v>5</v>
      </c>
      <c r="G123" s="21" t="n">
        <v>4</v>
      </c>
      <c r="H123" s="21" t="n">
        <v>4</v>
      </c>
      <c r="I123" s="21" t="n">
        <v>3</v>
      </c>
      <c r="J123" s="21" t="n">
        <v>5</v>
      </c>
      <c r="K123" s="21" t="n">
        <v>4</v>
      </c>
      <c r="L123" s="21" t="n">
        <v>4</v>
      </c>
      <c r="M123" s="21" t="n">
        <v>4</v>
      </c>
      <c r="N123" s="21" t="n">
        <v>3</v>
      </c>
      <c r="O123" s="21" t="n">
        <v>2</v>
      </c>
      <c r="P123" s="21" t="n">
        <v>4</v>
      </c>
      <c r="Q123" s="21" t="n">
        <v>4</v>
      </c>
      <c r="R123" s="21" t="n">
        <v>4</v>
      </c>
      <c r="S123" s="21" t="n">
        <v>2</v>
      </c>
      <c r="T123" s="21" t="n">
        <v>3</v>
      </c>
      <c r="U123" s="21" t="n">
        <v>2</v>
      </c>
      <c r="V123" s="21" t="n">
        <v>3</v>
      </c>
      <c r="W123" s="21" t="n">
        <v>3</v>
      </c>
      <c r="X123" s="21" t="n">
        <v>4</v>
      </c>
      <c r="Y123" s="22">
        <f>INT(A123)</f>
        <v/>
      </c>
      <c r="Z123" s="21">
        <f>IF(Y123&lt;DATE(2025,3,6),1,IF(Y123&lt;DATE(2025,3,13),2,3))</f>
        <v/>
      </c>
      <c r="AA123" s="21">
        <f>COUNTBLANK(B123:X123)</f>
        <v/>
      </c>
      <c r="AB123" s="21">
        <f>B123&amp;"|"&amp;C123&amp;"|"&amp;D123&amp;"|"&amp;E123&amp;"|"&amp;F123&amp;"|"&amp;G123&amp;"|"&amp;H123&amp;"|"&amp;I123&amp;"|"&amp;J123&amp;"|"&amp;K123&amp;"|"&amp;L123&amp;"|"&amp;M123&amp;"|"&amp;N123&amp;"|"&amp;O123&amp;"|"&amp;P123&amp;"|"&amp;Q123&amp;"|"&amp;R123&amp;"|"&amp;S123&amp;"|"&amp;T123&amp;"|"&amp;U123&amp;"|"&amp;V123&amp;"|"&amp;W123&amp;"|"&amp;X123</f>
        <v/>
      </c>
      <c r="AC123" s="21">
        <f>IF(COUNTIF($AB$2:AB123,AB123)&gt;1,1,0)</f>
        <v/>
      </c>
      <c r="AD123" s="23">
        <f>STDEV(F123:X123)</f>
        <v/>
      </c>
      <c r="AE123" s="21">
        <f>IF(OR(AA123&gt;=8,AC123=1,AD123=0),0,1)</f>
        <v/>
      </c>
      <c r="AF123" s="21">
        <f>IF(AE123=1,"",IF(AC123=1,"Trùng",IF(AA123&gt;=8,"Bỏ trống "&amp;AA123&amp;" ô","Chọn cùng một mức")))</f>
        <v/>
      </c>
      <c r="AG123" s="23">
        <f>IF($AE123=1,AVERAGE(F123:I123),"")</f>
        <v/>
      </c>
      <c r="AH123" s="23">
        <f>IF($AE123=1,AVERAGE(J123:M123),"")</f>
        <v/>
      </c>
      <c r="AI123" s="23">
        <f>IF($AE123=1,AVERAGE(N123:Q123),"")</f>
        <v/>
      </c>
      <c r="AJ123" s="23">
        <f>IF($AE123=1,AVERAGE(R123:U123),"")</f>
        <v/>
      </c>
      <c r="AK123" s="23">
        <f>IF($AE123=1,AVERAGE(V123:X123),"")</f>
        <v/>
      </c>
    </row>
    <row r="124">
      <c r="A124" s="20" t="n">
        <v>45730.05486111111</v>
      </c>
      <c r="B124" s="21" t="n">
        <v>2</v>
      </c>
      <c r="C124" s="21" t="n">
        <v>4</v>
      </c>
      <c r="D124" s="21" t="n">
        <v>3</v>
      </c>
      <c r="E124" s="21" t="n">
        <v>3</v>
      </c>
      <c r="F124" s="21" t="n">
        <v>4</v>
      </c>
      <c r="G124" s="21" t="n">
        <v>5</v>
      </c>
      <c r="H124" s="21" t="n">
        <v>4</v>
      </c>
      <c r="I124" s="21" t="n">
        <v>4</v>
      </c>
      <c r="J124" s="21" t="n">
        <v>4</v>
      </c>
      <c r="K124" s="21" t="n">
        <v>4</v>
      </c>
      <c r="L124" s="21" t="n">
        <v>4</v>
      </c>
      <c r="M124" s="21" t="n">
        <v>4</v>
      </c>
      <c r="N124" s="21" t="n">
        <v>3</v>
      </c>
      <c r="O124" s="21" t="n">
        <v>3</v>
      </c>
      <c r="P124" s="21" t="n">
        <v>3</v>
      </c>
      <c r="Q124" s="21" t="n">
        <v>3</v>
      </c>
      <c r="R124" s="21" t="n">
        <v>2</v>
      </c>
      <c r="S124" s="21" t="n">
        <v>2</v>
      </c>
      <c r="T124" s="21" t="n">
        <v>3</v>
      </c>
      <c r="U124" s="21" t="n">
        <v>3</v>
      </c>
      <c r="V124" s="21" t="n">
        <v>4</v>
      </c>
      <c r="W124" s="21" t="n">
        <v>4</v>
      </c>
      <c r="X124" s="21" t="n">
        <v>4</v>
      </c>
      <c r="Y124" s="22">
        <f>INT(A124)</f>
        <v/>
      </c>
      <c r="Z124" s="21">
        <f>IF(Y124&lt;DATE(2025,3,6),1,IF(Y124&lt;DATE(2025,3,13),2,3))</f>
        <v/>
      </c>
      <c r="AA124" s="21">
        <f>COUNTBLANK(B124:X124)</f>
        <v/>
      </c>
      <c r="AB124" s="21">
        <f>B124&amp;"|"&amp;C124&amp;"|"&amp;D124&amp;"|"&amp;E124&amp;"|"&amp;F124&amp;"|"&amp;G124&amp;"|"&amp;H124&amp;"|"&amp;I124&amp;"|"&amp;J124&amp;"|"&amp;K124&amp;"|"&amp;L124&amp;"|"&amp;M124&amp;"|"&amp;N124&amp;"|"&amp;O124&amp;"|"&amp;P124&amp;"|"&amp;Q124&amp;"|"&amp;R124&amp;"|"&amp;S124&amp;"|"&amp;T124&amp;"|"&amp;U124&amp;"|"&amp;V124&amp;"|"&amp;W124&amp;"|"&amp;X124</f>
        <v/>
      </c>
      <c r="AC124" s="21">
        <f>IF(COUNTIF($AB$2:AB124,AB124)&gt;1,1,0)</f>
        <v/>
      </c>
      <c r="AD124" s="23">
        <f>STDEV(F124:X124)</f>
        <v/>
      </c>
      <c r="AE124" s="21">
        <f>IF(OR(AA124&gt;=8,AC124=1,AD124=0),0,1)</f>
        <v/>
      </c>
      <c r="AF124" s="21">
        <f>IF(AE124=1,"",IF(AC124=1,"Trùng",IF(AA124&gt;=8,"Bỏ trống "&amp;AA124&amp;" ô","Chọn cùng một mức")))</f>
        <v/>
      </c>
      <c r="AG124" s="23">
        <f>IF($AE124=1,AVERAGE(F124:I124),"")</f>
        <v/>
      </c>
      <c r="AH124" s="23">
        <f>IF($AE124=1,AVERAGE(J124:M124),"")</f>
        <v/>
      </c>
      <c r="AI124" s="23">
        <f>IF($AE124=1,AVERAGE(N124:Q124),"")</f>
        <v/>
      </c>
      <c r="AJ124" s="23">
        <f>IF($AE124=1,AVERAGE(R124:U124),"")</f>
        <v/>
      </c>
      <c r="AK124" s="23">
        <f>IF($AE124=1,AVERAGE(V124:X124),"")</f>
        <v/>
      </c>
    </row>
    <row r="125">
      <c r="A125" s="20" t="n">
        <v>45730.13680555556</v>
      </c>
      <c r="B125" s="21" t="n">
        <v>1</v>
      </c>
      <c r="C125" s="21" t="n">
        <v>3</v>
      </c>
      <c r="D125" s="21" t="n">
        <v>1</v>
      </c>
      <c r="E125" s="21" t="n">
        <v>1</v>
      </c>
      <c r="F125" s="21" t="n">
        <v>5</v>
      </c>
      <c r="G125" s="21" t="n">
        <v>4</v>
      </c>
      <c r="H125" s="21" t="n">
        <v>4</v>
      </c>
      <c r="I125" s="21" t="n">
        <v>4</v>
      </c>
      <c r="J125" s="21" t="n">
        <v>3</v>
      </c>
      <c r="K125" s="21" t="n">
        <v>5</v>
      </c>
      <c r="L125" s="21" t="n">
        <v>4</v>
      </c>
      <c r="M125" s="21" t="n">
        <v>3</v>
      </c>
      <c r="N125" s="21" t="n">
        <v>1</v>
      </c>
      <c r="O125" s="21" t="n">
        <v>1</v>
      </c>
      <c r="P125" s="21" t="n">
        <v>2</v>
      </c>
      <c r="Q125" s="21" t="n">
        <v>1</v>
      </c>
      <c r="R125" s="21" t="n">
        <v>2</v>
      </c>
      <c r="S125" s="21" t="n">
        <v>2</v>
      </c>
      <c r="T125" s="21" t="n">
        <v>2</v>
      </c>
      <c r="U125" s="21" t="n">
        <v>2</v>
      </c>
      <c r="V125" s="21" t="n">
        <v>3</v>
      </c>
      <c r="W125" s="21" t="n">
        <v>3</v>
      </c>
      <c r="X125" s="21" t="n">
        <v>3</v>
      </c>
      <c r="Y125" s="22">
        <f>INT(A125)</f>
        <v/>
      </c>
      <c r="Z125" s="21">
        <f>IF(Y125&lt;DATE(2025,3,6),1,IF(Y125&lt;DATE(2025,3,13),2,3))</f>
        <v/>
      </c>
      <c r="AA125" s="21">
        <f>COUNTBLANK(B125:X125)</f>
        <v/>
      </c>
      <c r="AB125" s="21">
        <f>B125&amp;"|"&amp;C125&amp;"|"&amp;D125&amp;"|"&amp;E125&amp;"|"&amp;F125&amp;"|"&amp;G125&amp;"|"&amp;H125&amp;"|"&amp;I125&amp;"|"&amp;J125&amp;"|"&amp;K125&amp;"|"&amp;L125&amp;"|"&amp;M125&amp;"|"&amp;N125&amp;"|"&amp;O125&amp;"|"&amp;P125&amp;"|"&amp;Q125&amp;"|"&amp;R125&amp;"|"&amp;S125&amp;"|"&amp;T125&amp;"|"&amp;U125&amp;"|"&amp;V125&amp;"|"&amp;W125&amp;"|"&amp;X125</f>
        <v/>
      </c>
      <c r="AC125" s="21">
        <f>IF(COUNTIF($AB$2:AB125,AB125)&gt;1,1,0)</f>
        <v/>
      </c>
      <c r="AD125" s="23">
        <f>STDEV(F125:X125)</f>
        <v/>
      </c>
      <c r="AE125" s="21">
        <f>IF(OR(AA125&gt;=8,AC125=1,AD125=0),0,1)</f>
        <v/>
      </c>
      <c r="AF125" s="21">
        <f>IF(AE125=1,"",IF(AC125=1,"Trùng",IF(AA125&gt;=8,"Bỏ trống "&amp;AA125&amp;" ô","Chọn cùng một mức")))</f>
        <v/>
      </c>
      <c r="AG125" s="23">
        <f>IF($AE125=1,AVERAGE(F125:I125),"")</f>
        <v/>
      </c>
      <c r="AH125" s="23">
        <f>IF($AE125=1,AVERAGE(J125:M125),"")</f>
        <v/>
      </c>
      <c r="AI125" s="23">
        <f>IF($AE125=1,AVERAGE(N125:Q125),"")</f>
        <v/>
      </c>
      <c r="AJ125" s="23">
        <f>IF($AE125=1,AVERAGE(R125:U125),"")</f>
        <v/>
      </c>
      <c r="AK125" s="23">
        <f>IF($AE125=1,AVERAGE(V125:X125),"")</f>
        <v/>
      </c>
    </row>
    <row r="126">
      <c r="A126" s="20" t="n">
        <v>45730.20555555556</v>
      </c>
      <c r="B126" s="21" t="n">
        <v>2</v>
      </c>
      <c r="C126" s="21" t="n">
        <v>2</v>
      </c>
      <c r="D126" s="21" t="n">
        <v>3</v>
      </c>
      <c r="E126" s="21" t="n">
        <v>3</v>
      </c>
      <c r="F126" s="21" t="n">
        <v>4</v>
      </c>
      <c r="G126" s="21" t="n">
        <v>4</v>
      </c>
      <c r="H126" s="21" t="n">
        <v>4</v>
      </c>
      <c r="I126" s="21" t="n">
        <v>4</v>
      </c>
      <c r="J126" s="21" t="n">
        <v>3</v>
      </c>
      <c r="K126" s="21" t="n">
        <v>3</v>
      </c>
      <c r="L126" s="21" t="n">
        <v>4</v>
      </c>
      <c r="M126" s="21" t="n">
        <v>4</v>
      </c>
      <c r="N126" s="21" t="n">
        <v>3</v>
      </c>
      <c r="O126" s="21" t="n">
        <v>3</v>
      </c>
      <c r="P126" s="21" t="n">
        <v>2</v>
      </c>
      <c r="Q126" s="21" t="n">
        <v>3</v>
      </c>
      <c r="R126" s="21" t="n">
        <v>4</v>
      </c>
      <c r="S126" s="21" t="n">
        <v>4</v>
      </c>
      <c r="T126" s="21" t="n">
        <v>4</v>
      </c>
      <c r="U126" s="21" t="n">
        <v>3</v>
      </c>
      <c r="V126" s="21" t="n">
        <v>3</v>
      </c>
      <c r="W126" s="21" t="n">
        <v>4</v>
      </c>
      <c r="X126" s="21" t="n">
        <v>3</v>
      </c>
      <c r="Y126" s="22">
        <f>INT(A126)</f>
        <v/>
      </c>
      <c r="Z126" s="21">
        <f>IF(Y126&lt;DATE(2025,3,6),1,IF(Y126&lt;DATE(2025,3,13),2,3))</f>
        <v/>
      </c>
      <c r="AA126" s="21">
        <f>COUNTBLANK(B126:X126)</f>
        <v/>
      </c>
      <c r="AB126" s="21">
        <f>B126&amp;"|"&amp;C126&amp;"|"&amp;D126&amp;"|"&amp;E126&amp;"|"&amp;F126&amp;"|"&amp;G126&amp;"|"&amp;H126&amp;"|"&amp;I126&amp;"|"&amp;J126&amp;"|"&amp;K126&amp;"|"&amp;L126&amp;"|"&amp;M126&amp;"|"&amp;N126&amp;"|"&amp;O126&amp;"|"&amp;P126&amp;"|"&amp;Q126&amp;"|"&amp;R126&amp;"|"&amp;S126&amp;"|"&amp;T126&amp;"|"&amp;U126&amp;"|"&amp;V126&amp;"|"&amp;W126&amp;"|"&amp;X126</f>
        <v/>
      </c>
      <c r="AC126" s="21">
        <f>IF(COUNTIF($AB$2:AB126,AB126)&gt;1,1,0)</f>
        <v/>
      </c>
      <c r="AD126" s="23">
        <f>STDEV(F126:X126)</f>
        <v/>
      </c>
      <c r="AE126" s="21">
        <f>IF(OR(AA126&gt;=8,AC126=1,AD126=0),0,1)</f>
        <v/>
      </c>
      <c r="AF126" s="21">
        <f>IF(AE126=1,"",IF(AC126=1,"Trùng",IF(AA126&gt;=8,"Bỏ trống "&amp;AA126&amp;" ô","Chọn cùng một mức")))</f>
        <v/>
      </c>
      <c r="AG126" s="23">
        <f>IF($AE126=1,AVERAGE(F126:I126),"")</f>
        <v/>
      </c>
      <c r="AH126" s="23">
        <f>IF($AE126=1,AVERAGE(J126:M126),"")</f>
        <v/>
      </c>
      <c r="AI126" s="23">
        <f>IF($AE126=1,AVERAGE(N126:Q126),"")</f>
        <v/>
      </c>
      <c r="AJ126" s="23">
        <f>IF($AE126=1,AVERAGE(R126:U126),"")</f>
        <v/>
      </c>
      <c r="AK126" s="23">
        <f>IF($AE126=1,AVERAGE(V126:X126),"")</f>
        <v/>
      </c>
    </row>
    <row r="127">
      <c r="A127" s="20" t="n">
        <v>45730.36875</v>
      </c>
      <c r="B127" s="21" t="n">
        <v>2</v>
      </c>
      <c r="C127" s="21" t="n">
        <v>3</v>
      </c>
      <c r="D127" s="21" t="n">
        <v>3</v>
      </c>
      <c r="E127" s="21" t="n">
        <v>1</v>
      </c>
      <c r="F127" s="21" t="n">
        <v>4</v>
      </c>
      <c r="G127" s="21" t="n">
        <v>3</v>
      </c>
      <c r="H127" s="21" t="n">
        <v>4</v>
      </c>
      <c r="I127" s="21" t="n">
        <v>5</v>
      </c>
      <c r="J127" s="21" t="n">
        <v>4</v>
      </c>
      <c r="K127" s="21" t="n">
        <v>3</v>
      </c>
      <c r="L127" s="21" t="n">
        <v>3</v>
      </c>
      <c r="M127" s="21" t="n">
        <v>4</v>
      </c>
      <c r="N127" s="21" t="n">
        <v>3</v>
      </c>
      <c r="O127" s="21" t="n">
        <v>3</v>
      </c>
      <c r="P127" s="21" t="n">
        <v>4</v>
      </c>
      <c r="Q127" s="21" t="n">
        <v>4</v>
      </c>
      <c r="R127" s="21" t="n">
        <v>3</v>
      </c>
      <c r="S127" s="21" t="n">
        <v>3</v>
      </c>
      <c r="T127" s="21" t="n">
        <v>3</v>
      </c>
      <c r="U127" s="21" t="n">
        <v>1</v>
      </c>
      <c r="V127" s="21" t="n">
        <v>5</v>
      </c>
      <c r="W127" s="21" t="n">
        <v>4</v>
      </c>
      <c r="X127" s="21" t="n">
        <v>4</v>
      </c>
      <c r="Y127" s="22">
        <f>INT(A127)</f>
        <v/>
      </c>
      <c r="Z127" s="21">
        <f>IF(Y127&lt;DATE(2025,3,6),1,IF(Y127&lt;DATE(2025,3,13),2,3))</f>
        <v/>
      </c>
      <c r="AA127" s="21">
        <f>COUNTBLANK(B127:X127)</f>
        <v/>
      </c>
      <c r="AB127" s="21">
        <f>B127&amp;"|"&amp;C127&amp;"|"&amp;D127&amp;"|"&amp;E127&amp;"|"&amp;F127&amp;"|"&amp;G127&amp;"|"&amp;H127&amp;"|"&amp;I127&amp;"|"&amp;J127&amp;"|"&amp;K127&amp;"|"&amp;L127&amp;"|"&amp;M127&amp;"|"&amp;N127&amp;"|"&amp;O127&amp;"|"&amp;P127&amp;"|"&amp;Q127&amp;"|"&amp;R127&amp;"|"&amp;S127&amp;"|"&amp;T127&amp;"|"&amp;U127&amp;"|"&amp;V127&amp;"|"&amp;W127&amp;"|"&amp;X127</f>
        <v/>
      </c>
      <c r="AC127" s="21">
        <f>IF(COUNTIF($AB$2:AB127,AB127)&gt;1,1,0)</f>
        <v/>
      </c>
      <c r="AD127" s="23">
        <f>STDEV(F127:X127)</f>
        <v/>
      </c>
      <c r="AE127" s="21">
        <f>IF(OR(AA127&gt;=8,AC127=1,AD127=0),0,1)</f>
        <v/>
      </c>
      <c r="AF127" s="21">
        <f>IF(AE127=1,"",IF(AC127=1,"Trùng",IF(AA127&gt;=8,"Bỏ trống "&amp;AA127&amp;" ô","Chọn cùng một mức")))</f>
        <v/>
      </c>
      <c r="AG127" s="23">
        <f>IF($AE127=1,AVERAGE(F127:I127),"")</f>
        <v/>
      </c>
      <c r="AH127" s="23">
        <f>IF($AE127=1,AVERAGE(J127:M127),"")</f>
        <v/>
      </c>
      <c r="AI127" s="23">
        <f>IF($AE127=1,AVERAGE(N127:Q127),"")</f>
        <v/>
      </c>
      <c r="AJ127" s="23">
        <f>IF($AE127=1,AVERAGE(R127:U127),"")</f>
        <v/>
      </c>
      <c r="AK127" s="23">
        <f>IF($AE127=1,AVERAGE(V127:X127),"")</f>
        <v/>
      </c>
    </row>
    <row r="128">
      <c r="A128" s="20" t="n">
        <v>45730.61805555555</v>
      </c>
      <c r="B128" s="21" t="n">
        <v>2</v>
      </c>
      <c r="C128" s="21" t="n">
        <v>4</v>
      </c>
      <c r="D128" s="21" t="n">
        <v>2</v>
      </c>
      <c r="E128" s="21" t="n">
        <v>3</v>
      </c>
      <c r="F128" s="21" t="n">
        <v>4</v>
      </c>
      <c r="G128" s="21" t="n">
        <v>5</v>
      </c>
      <c r="H128" s="21" t="n">
        <v>4</v>
      </c>
      <c r="I128" s="21" t="n">
        <v>3</v>
      </c>
      <c r="J128" s="21" t="n">
        <v>5</v>
      </c>
      <c r="K128" s="21" t="n">
        <v>5</v>
      </c>
      <c r="L128" s="21" t="n">
        <v>5</v>
      </c>
      <c r="M128" s="21" t="n">
        <v>4</v>
      </c>
      <c r="N128" s="21" t="n">
        <v>4</v>
      </c>
      <c r="O128" s="21" t="n">
        <v>4</v>
      </c>
      <c r="P128" s="21" t="n">
        <v>4</v>
      </c>
      <c r="Q128" s="21" t="n">
        <v>4</v>
      </c>
      <c r="R128" s="21" t="n">
        <v>2</v>
      </c>
      <c r="S128" s="21" t="n">
        <v>3</v>
      </c>
      <c r="T128" s="21" t="n">
        <v>3</v>
      </c>
      <c r="U128" s="21" t="n">
        <v>3</v>
      </c>
      <c r="V128" s="21" t="n">
        <v>4</v>
      </c>
      <c r="W128" s="21" t="n">
        <v>4</v>
      </c>
      <c r="X128" s="21" t="n">
        <v>5</v>
      </c>
      <c r="Y128" s="22">
        <f>INT(A128)</f>
        <v/>
      </c>
      <c r="Z128" s="21">
        <f>IF(Y128&lt;DATE(2025,3,6),1,IF(Y128&lt;DATE(2025,3,13),2,3))</f>
        <v/>
      </c>
      <c r="AA128" s="21">
        <f>COUNTBLANK(B128:X128)</f>
        <v/>
      </c>
      <c r="AB128" s="21">
        <f>B128&amp;"|"&amp;C128&amp;"|"&amp;D128&amp;"|"&amp;E128&amp;"|"&amp;F128&amp;"|"&amp;G128&amp;"|"&amp;H128&amp;"|"&amp;I128&amp;"|"&amp;J128&amp;"|"&amp;K128&amp;"|"&amp;L128&amp;"|"&amp;M128&amp;"|"&amp;N128&amp;"|"&amp;O128&amp;"|"&amp;P128&amp;"|"&amp;Q128&amp;"|"&amp;R128&amp;"|"&amp;S128&amp;"|"&amp;T128&amp;"|"&amp;U128&amp;"|"&amp;V128&amp;"|"&amp;W128&amp;"|"&amp;X128</f>
        <v/>
      </c>
      <c r="AC128" s="21">
        <f>IF(COUNTIF($AB$2:AB128,AB128)&gt;1,1,0)</f>
        <v/>
      </c>
      <c r="AD128" s="23">
        <f>STDEV(F128:X128)</f>
        <v/>
      </c>
      <c r="AE128" s="21">
        <f>IF(OR(AA128&gt;=8,AC128=1,AD128=0),0,1)</f>
        <v/>
      </c>
      <c r="AF128" s="21">
        <f>IF(AE128=1,"",IF(AC128=1,"Trùng",IF(AA128&gt;=8,"Bỏ trống "&amp;AA128&amp;" ô","Chọn cùng một mức")))</f>
        <v/>
      </c>
      <c r="AG128" s="23">
        <f>IF($AE128=1,AVERAGE(F128:I128),"")</f>
        <v/>
      </c>
      <c r="AH128" s="23">
        <f>IF($AE128=1,AVERAGE(J128:M128),"")</f>
        <v/>
      </c>
      <c r="AI128" s="23">
        <f>IF($AE128=1,AVERAGE(N128:Q128),"")</f>
        <v/>
      </c>
      <c r="AJ128" s="23">
        <f>IF($AE128=1,AVERAGE(R128:U128),"")</f>
        <v/>
      </c>
      <c r="AK128" s="23">
        <f>IF($AE128=1,AVERAGE(V128:X128),"")</f>
        <v/>
      </c>
    </row>
    <row r="129">
      <c r="A129" s="20" t="n">
        <v>45730.69722222222</v>
      </c>
      <c r="B129" s="21" t="n">
        <v>2</v>
      </c>
      <c r="C129" s="21" t="n">
        <v>2</v>
      </c>
      <c r="D129" s="21" t="n">
        <v>2</v>
      </c>
      <c r="E129" s="21" t="n">
        <v>2</v>
      </c>
      <c r="F129" s="21" t="n">
        <v>3</v>
      </c>
      <c r="G129" s="21" t="n">
        <v>3</v>
      </c>
      <c r="H129" s="21" t="n">
        <v>3</v>
      </c>
      <c r="I129" s="21" t="n">
        <v>3</v>
      </c>
      <c r="J129" s="21" t="n">
        <v>3</v>
      </c>
      <c r="K129" s="21" t="n">
        <v>4</v>
      </c>
      <c r="L129" s="21" t="n">
        <v>3</v>
      </c>
      <c r="M129" s="21" t="n">
        <v>4</v>
      </c>
      <c r="N129" s="21" t="n">
        <v>3</v>
      </c>
      <c r="O129" s="21" t="n">
        <v>4</v>
      </c>
      <c r="P129" s="21" t="n">
        <v>2</v>
      </c>
      <c r="Q129" s="21" t="n">
        <v>3</v>
      </c>
      <c r="R129" s="21" t="n">
        <v>4</v>
      </c>
      <c r="S129" s="21" t="n">
        <v>3</v>
      </c>
      <c r="T129" s="21" t="n">
        <v>3</v>
      </c>
      <c r="U129" s="21" t="n">
        <v>3</v>
      </c>
      <c r="V129" s="21" t="n">
        <v>4</v>
      </c>
      <c r="W129" s="21" t="n">
        <v>3</v>
      </c>
      <c r="X129" s="21" t="n">
        <v>2</v>
      </c>
      <c r="Y129" s="22">
        <f>INT(A129)</f>
        <v/>
      </c>
      <c r="Z129" s="21">
        <f>IF(Y129&lt;DATE(2025,3,6),1,IF(Y129&lt;DATE(2025,3,13),2,3))</f>
        <v/>
      </c>
      <c r="AA129" s="21">
        <f>COUNTBLANK(B129:X129)</f>
        <v/>
      </c>
      <c r="AB129" s="21">
        <f>B129&amp;"|"&amp;C129&amp;"|"&amp;D129&amp;"|"&amp;E129&amp;"|"&amp;F129&amp;"|"&amp;G129&amp;"|"&amp;H129&amp;"|"&amp;I129&amp;"|"&amp;J129&amp;"|"&amp;K129&amp;"|"&amp;L129&amp;"|"&amp;M129&amp;"|"&amp;N129&amp;"|"&amp;O129&amp;"|"&amp;P129&amp;"|"&amp;Q129&amp;"|"&amp;R129&amp;"|"&amp;S129&amp;"|"&amp;T129&amp;"|"&amp;U129&amp;"|"&amp;V129&amp;"|"&amp;W129&amp;"|"&amp;X129</f>
        <v/>
      </c>
      <c r="AC129" s="21">
        <f>IF(COUNTIF($AB$2:AB129,AB129)&gt;1,1,0)</f>
        <v/>
      </c>
      <c r="AD129" s="23">
        <f>STDEV(F129:X129)</f>
        <v/>
      </c>
      <c r="AE129" s="21">
        <f>IF(OR(AA129&gt;=8,AC129=1,AD129=0),0,1)</f>
        <v/>
      </c>
      <c r="AF129" s="21">
        <f>IF(AE129=1,"",IF(AC129=1,"Trùng",IF(AA129&gt;=8,"Bỏ trống "&amp;AA129&amp;" ô","Chọn cùng một mức")))</f>
        <v/>
      </c>
      <c r="AG129" s="23">
        <f>IF($AE129=1,AVERAGE(F129:I129),"")</f>
        <v/>
      </c>
      <c r="AH129" s="23">
        <f>IF($AE129=1,AVERAGE(J129:M129),"")</f>
        <v/>
      </c>
      <c r="AI129" s="23">
        <f>IF($AE129=1,AVERAGE(N129:Q129),"")</f>
        <v/>
      </c>
      <c r="AJ129" s="23">
        <f>IF($AE129=1,AVERAGE(R129:U129),"")</f>
        <v/>
      </c>
      <c r="AK129" s="23">
        <f>IF($AE129=1,AVERAGE(V129:X129),"")</f>
        <v/>
      </c>
    </row>
    <row r="130">
      <c r="A130" s="20" t="n">
        <v>45730.72013888889</v>
      </c>
      <c r="B130" s="21" t="n">
        <v>2</v>
      </c>
      <c r="C130" s="21" t="n">
        <v>3</v>
      </c>
      <c r="D130" s="21" t="n">
        <v>1</v>
      </c>
      <c r="E130" s="21" t="n">
        <v>2</v>
      </c>
      <c r="F130" s="21" t="n">
        <v>3</v>
      </c>
      <c r="G130" s="21" t="n">
        <v>4</v>
      </c>
      <c r="H130" s="21" t="n">
        <v>4</v>
      </c>
      <c r="I130" s="21" t="n">
        <v>3</v>
      </c>
      <c r="J130" s="21" t="n">
        <v>5</v>
      </c>
      <c r="K130" s="21" t="n">
        <v>5</v>
      </c>
      <c r="L130" s="21" t="n">
        <v>5</v>
      </c>
      <c r="M130" s="21" t="n">
        <v>4</v>
      </c>
      <c r="N130" s="21" t="n">
        <v>4</v>
      </c>
      <c r="O130" s="21" t="n">
        <v>3</v>
      </c>
      <c r="P130" s="21" t="n">
        <v>3</v>
      </c>
      <c r="Q130" s="21" t="n">
        <v>4</v>
      </c>
      <c r="R130" s="21" t="n">
        <v>3</v>
      </c>
      <c r="S130" s="21" t="n">
        <v>4</v>
      </c>
      <c r="T130" s="21" t="n">
        <v>3</v>
      </c>
      <c r="U130" s="21" t="n">
        <v>4</v>
      </c>
      <c r="V130" s="21" t="n">
        <v>5</v>
      </c>
      <c r="W130" s="21" t="n">
        <v>4</v>
      </c>
      <c r="X130" s="21" t="n">
        <v>4</v>
      </c>
      <c r="Y130" s="22">
        <f>INT(A130)</f>
        <v/>
      </c>
      <c r="Z130" s="21">
        <f>IF(Y130&lt;DATE(2025,3,6),1,IF(Y130&lt;DATE(2025,3,13),2,3))</f>
        <v/>
      </c>
      <c r="AA130" s="21">
        <f>COUNTBLANK(B130:X130)</f>
        <v/>
      </c>
      <c r="AB130" s="21">
        <f>B130&amp;"|"&amp;C130&amp;"|"&amp;D130&amp;"|"&amp;E130&amp;"|"&amp;F130&amp;"|"&amp;G130&amp;"|"&amp;H130&amp;"|"&amp;I130&amp;"|"&amp;J130&amp;"|"&amp;K130&amp;"|"&amp;L130&amp;"|"&amp;M130&amp;"|"&amp;N130&amp;"|"&amp;O130&amp;"|"&amp;P130&amp;"|"&amp;Q130&amp;"|"&amp;R130&amp;"|"&amp;S130&amp;"|"&amp;T130&amp;"|"&amp;U130&amp;"|"&amp;V130&amp;"|"&amp;W130&amp;"|"&amp;X130</f>
        <v/>
      </c>
      <c r="AC130" s="21">
        <f>IF(COUNTIF($AB$2:AB130,AB130)&gt;1,1,0)</f>
        <v/>
      </c>
      <c r="AD130" s="23">
        <f>STDEV(F130:X130)</f>
        <v/>
      </c>
      <c r="AE130" s="21">
        <f>IF(OR(AA130&gt;=8,AC130=1,AD130=0),0,1)</f>
        <v/>
      </c>
      <c r="AF130" s="21">
        <f>IF(AE130=1,"",IF(AC130=1,"Trùng",IF(AA130&gt;=8,"Bỏ trống "&amp;AA130&amp;" ô","Chọn cùng một mức")))</f>
        <v/>
      </c>
      <c r="AG130" s="23">
        <f>IF($AE130=1,AVERAGE(F130:I130),"")</f>
        <v/>
      </c>
      <c r="AH130" s="23">
        <f>IF($AE130=1,AVERAGE(J130:M130),"")</f>
        <v/>
      </c>
      <c r="AI130" s="23">
        <f>IF($AE130=1,AVERAGE(N130:Q130),"")</f>
        <v/>
      </c>
      <c r="AJ130" s="23">
        <f>IF($AE130=1,AVERAGE(R130:U130),"")</f>
        <v/>
      </c>
      <c r="AK130" s="23">
        <f>IF($AE130=1,AVERAGE(V130:X130),"")</f>
        <v/>
      </c>
    </row>
    <row r="131">
      <c r="A131" s="20" t="n">
        <v>45730.73611111111</v>
      </c>
      <c r="B131" s="21" t="n">
        <v>1</v>
      </c>
      <c r="C131" s="21" t="n">
        <v>2</v>
      </c>
      <c r="D131" s="21" t="n">
        <v>2</v>
      </c>
      <c r="E131" s="21" t="n">
        <v>3</v>
      </c>
      <c r="F131" s="21" t="n">
        <v>4</v>
      </c>
      <c r="G131" s="21" t="n">
        <v>4</v>
      </c>
      <c r="H131" s="21" t="n">
        <v>5</v>
      </c>
      <c r="I131" s="21" t="n">
        <v>5</v>
      </c>
      <c r="J131" s="21" t="n">
        <v>3</v>
      </c>
      <c r="K131" s="21" t="n">
        <v>3</v>
      </c>
      <c r="L131" s="21" t="n">
        <v>3</v>
      </c>
      <c r="M131" s="21" t="n">
        <v>4</v>
      </c>
      <c r="N131" s="21" t="n">
        <v>4</v>
      </c>
      <c r="O131" s="21" t="n">
        <v>4</v>
      </c>
      <c r="P131" s="21" t="n">
        <v>4</v>
      </c>
      <c r="Q131" s="21" t="n">
        <v>4</v>
      </c>
      <c r="R131" s="21" t="n">
        <v>4</v>
      </c>
      <c r="S131" s="21" t="n">
        <v>3</v>
      </c>
      <c r="T131" s="21" t="n">
        <v>5</v>
      </c>
      <c r="U131" s="21" t="n">
        <v>5</v>
      </c>
      <c r="V131" s="21" t="n">
        <v>5</v>
      </c>
      <c r="W131" s="21" t="n">
        <v>5</v>
      </c>
      <c r="X131" s="21" t="n">
        <v>5</v>
      </c>
      <c r="Y131" s="22">
        <f>INT(A131)</f>
        <v/>
      </c>
      <c r="Z131" s="21">
        <f>IF(Y131&lt;DATE(2025,3,6),1,IF(Y131&lt;DATE(2025,3,13),2,3))</f>
        <v/>
      </c>
      <c r="AA131" s="21">
        <f>COUNTBLANK(B131:X131)</f>
        <v/>
      </c>
      <c r="AB131" s="21">
        <f>B131&amp;"|"&amp;C131&amp;"|"&amp;D131&amp;"|"&amp;E131&amp;"|"&amp;F131&amp;"|"&amp;G131&amp;"|"&amp;H131&amp;"|"&amp;I131&amp;"|"&amp;J131&amp;"|"&amp;K131&amp;"|"&amp;L131&amp;"|"&amp;M131&amp;"|"&amp;N131&amp;"|"&amp;O131&amp;"|"&amp;P131&amp;"|"&amp;Q131&amp;"|"&amp;R131&amp;"|"&amp;S131&amp;"|"&amp;T131&amp;"|"&amp;U131&amp;"|"&amp;V131&amp;"|"&amp;W131&amp;"|"&amp;X131</f>
        <v/>
      </c>
      <c r="AC131" s="21">
        <f>IF(COUNTIF($AB$2:AB131,AB131)&gt;1,1,0)</f>
        <v/>
      </c>
      <c r="AD131" s="23">
        <f>STDEV(F131:X131)</f>
        <v/>
      </c>
      <c r="AE131" s="21">
        <f>IF(OR(AA131&gt;=8,AC131=1,AD131=0),0,1)</f>
        <v/>
      </c>
      <c r="AF131" s="21">
        <f>IF(AE131=1,"",IF(AC131=1,"Trùng",IF(AA131&gt;=8,"Bỏ trống "&amp;AA131&amp;" ô","Chọn cùng một mức")))</f>
        <v/>
      </c>
      <c r="AG131" s="23">
        <f>IF($AE131=1,AVERAGE(F131:I131),"")</f>
        <v/>
      </c>
      <c r="AH131" s="23">
        <f>IF($AE131=1,AVERAGE(J131:M131),"")</f>
        <v/>
      </c>
      <c r="AI131" s="23">
        <f>IF($AE131=1,AVERAGE(N131:Q131),"")</f>
        <v/>
      </c>
      <c r="AJ131" s="23">
        <f>IF($AE131=1,AVERAGE(R131:U131),"")</f>
        <v/>
      </c>
      <c r="AK131" s="23">
        <f>IF($AE131=1,AVERAGE(V131:X131),"")</f>
        <v/>
      </c>
    </row>
    <row r="132">
      <c r="A132" s="20" t="n">
        <v>45730.85763888889</v>
      </c>
      <c r="B132" s="21" t="n">
        <v>2</v>
      </c>
      <c r="C132" s="21" t="n">
        <v>2</v>
      </c>
      <c r="D132" s="21" t="n">
        <v>3</v>
      </c>
      <c r="E132" s="21" t="n">
        <v>2</v>
      </c>
      <c r="F132" s="21" t="n">
        <v>4</v>
      </c>
      <c r="G132" s="21" t="n">
        <v>4</v>
      </c>
      <c r="H132" s="21" t="n">
        <v>4</v>
      </c>
      <c r="I132" s="21" t="n">
        <v>4</v>
      </c>
      <c r="J132" s="21" t="n">
        <v>2</v>
      </c>
      <c r="K132" s="21" t="n">
        <v>2</v>
      </c>
      <c r="L132" s="21" t="n">
        <v>3</v>
      </c>
      <c r="M132" s="21" t="n">
        <v>3</v>
      </c>
      <c r="N132" s="21" t="n">
        <v>2</v>
      </c>
      <c r="O132" s="21" t="n">
        <v>3</v>
      </c>
      <c r="P132" s="21" t="n">
        <v>4</v>
      </c>
      <c r="Q132" s="21" t="n">
        <v>3</v>
      </c>
      <c r="R132" s="21" t="n">
        <v>2</v>
      </c>
      <c r="S132" s="21" t="n">
        <v>3</v>
      </c>
      <c r="T132" s="21" t="n">
        <v>3</v>
      </c>
      <c r="U132" s="21" t="n">
        <v>2</v>
      </c>
      <c r="V132" s="21" t="n">
        <v>4</v>
      </c>
      <c r="W132" s="21" t="n">
        <v>3</v>
      </c>
      <c r="X132" s="21" t="n">
        <v>5</v>
      </c>
      <c r="Y132" s="22">
        <f>INT(A132)</f>
        <v/>
      </c>
      <c r="Z132" s="21">
        <f>IF(Y132&lt;DATE(2025,3,6),1,IF(Y132&lt;DATE(2025,3,13),2,3))</f>
        <v/>
      </c>
      <c r="AA132" s="21">
        <f>COUNTBLANK(B132:X132)</f>
        <v/>
      </c>
      <c r="AB132" s="21">
        <f>B132&amp;"|"&amp;C132&amp;"|"&amp;D132&amp;"|"&amp;E132&amp;"|"&amp;F132&amp;"|"&amp;G132&amp;"|"&amp;H132&amp;"|"&amp;I132&amp;"|"&amp;J132&amp;"|"&amp;K132&amp;"|"&amp;L132&amp;"|"&amp;M132&amp;"|"&amp;N132&amp;"|"&amp;O132&amp;"|"&amp;P132&amp;"|"&amp;Q132&amp;"|"&amp;R132&amp;"|"&amp;S132&amp;"|"&amp;T132&amp;"|"&amp;U132&amp;"|"&amp;V132&amp;"|"&amp;W132&amp;"|"&amp;X132</f>
        <v/>
      </c>
      <c r="AC132" s="21">
        <f>IF(COUNTIF($AB$2:AB132,AB132)&gt;1,1,0)</f>
        <v/>
      </c>
      <c r="AD132" s="23">
        <f>STDEV(F132:X132)</f>
        <v/>
      </c>
      <c r="AE132" s="21">
        <f>IF(OR(AA132&gt;=8,AC132=1,AD132=0),0,1)</f>
        <v/>
      </c>
      <c r="AF132" s="21">
        <f>IF(AE132=1,"",IF(AC132=1,"Trùng",IF(AA132&gt;=8,"Bỏ trống "&amp;AA132&amp;" ô","Chọn cùng một mức")))</f>
        <v/>
      </c>
      <c r="AG132" s="23">
        <f>IF($AE132=1,AVERAGE(F132:I132),"")</f>
        <v/>
      </c>
      <c r="AH132" s="23">
        <f>IF($AE132=1,AVERAGE(J132:M132),"")</f>
        <v/>
      </c>
      <c r="AI132" s="23">
        <f>IF($AE132=1,AVERAGE(N132:Q132),"")</f>
        <v/>
      </c>
      <c r="AJ132" s="23">
        <f>IF($AE132=1,AVERAGE(R132:U132),"")</f>
        <v/>
      </c>
      <c r="AK132" s="23">
        <f>IF($AE132=1,AVERAGE(V132:X132),"")</f>
        <v/>
      </c>
    </row>
    <row r="133">
      <c r="A133" s="20" t="n">
        <v>45730.85902777778</v>
      </c>
      <c r="B133" s="21" t="n">
        <v>2</v>
      </c>
      <c r="C133" s="21" t="n">
        <v>2</v>
      </c>
      <c r="D133" s="21" t="n">
        <v>3</v>
      </c>
      <c r="E133" s="21" t="n">
        <v>3</v>
      </c>
      <c r="F133" s="21" t="n">
        <v>4</v>
      </c>
      <c r="G133" s="21" t="n">
        <v>4</v>
      </c>
      <c r="H133" s="21" t="n">
        <v>5</v>
      </c>
      <c r="I133" s="21" t="n">
        <v>4</v>
      </c>
      <c r="J133" s="21" t="n">
        <v>5</v>
      </c>
      <c r="K133" s="21" t="n">
        <v>4</v>
      </c>
      <c r="L133" s="21" t="n">
        <v>5</v>
      </c>
      <c r="M133" s="21" t="n">
        <v>4</v>
      </c>
      <c r="N133" s="21" t="n">
        <v>5</v>
      </c>
      <c r="O133" s="21" t="n">
        <v>4</v>
      </c>
      <c r="P133" s="21" t="n">
        <v>5</v>
      </c>
      <c r="Q133" s="21" t="n">
        <v>5</v>
      </c>
      <c r="R133" s="21" t="n">
        <v>4</v>
      </c>
      <c r="S133" s="21" t="n">
        <v>3</v>
      </c>
      <c r="T133" s="21" t="n">
        <v>3</v>
      </c>
      <c r="U133" s="21" t="n">
        <v>3</v>
      </c>
      <c r="V133" s="21" t="n">
        <v>5</v>
      </c>
      <c r="W133" s="21" t="n">
        <v>5</v>
      </c>
      <c r="X133" s="21" t="n">
        <v>5</v>
      </c>
      <c r="Y133" s="22">
        <f>INT(A133)</f>
        <v/>
      </c>
      <c r="Z133" s="21">
        <f>IF(Y133&lt;DATE(2025,3,6),1,IF(Y133&lt;DATE(2025,3,13),2,3))</f>
        <v/>
      </c>
      <c r="AA133" s="21">
        <f>COUNTBLANK(B133:X133)</f>
        <v/>
      </c>
      <c r="AB133" s="21">
        <f>B133&amp;"|"&amp;C133&amp;"|"&amp;D133&amp;"|"&amp;E133&amp;"|"&amp;F133&amp;"|"&amp;G133&amp;"|"&amp;H133&amp;"|"&amp;I133&amp;"|"&amp;J133&amp;"|"&amp;K133&amp;"|"&amp;L133&amp;"|"&amp;M133&amp;"|"&amp;N133&amp;"|"&amp;O133&amp;"|"&amp;P133&amp;"|"&amp;Q133&amp;"|"&amp;R133&amp;"|"&amp;S133&amp;"|"&amp;T133&amp;"|"&amp;U133&amp;"|"&amp;V133&amp;"|"&amp;W133&amp;"|"&amp;X133</f>
        <v/>
      </c>
      <c r="AC133" s="21">
        <f>IF(COUNTIF($AB$2:AB133,AB133)&gt;1,1,0)</f>
        <v/>
      </c>
      <c r="AD133" s="23">
        <f>STDEV(F133:X133)</f>
        <v/>
      </c>
      <c r="AE133" s="21">
        <f>IF(OR(AA133&gt;=8,AC133=1,AD133=0),0,1)</f>
        <v/>
      </c>
      <c r="AF133" s="21">
        <f>IF(AE133=1,"",IF(AC133=1,"Trùng",IF(AA133&gt;=8,"Bỏ trống "&amp;AA133&amp;" ô","Chọn cùng một mức")))</f>
        <v/>
      </c>
      <c r="AG133" s="23">
        <f>IF($AE133=1,AVERAGE(F133:I133),"")</f>
        <v/>
      </c>
      <c r="AH133" s="23">
        <f>IF($AE133=1,AVERAGE(J133:M133),"")</f>
        <v/>
      </c>
      <c r="AI133" s="23">
        <f>IF($AE133=1,AVERAGE(N133:Q133),"")</f>
        <v/>
      </c>
      <c r="AJ133" s="23">
        <f>IF($AE133=1,AVERAGE(R133:U133),"")</f>
        <v/>
      </c>
      <c r="AK133" s="23">
        <f>IF($AE133=1,AVERAGE(V133:X133),"")</f>
        <v/>
      </c>
    </row>
    <row r="134">
      <c r="A134" s="20" t="n">
        <v>45730.85902777778</v>
      </c>
      <c r="B134" s="21" t="n">
        <v>2</v>
      </c>
      <c r="C134" s="21" t="n">
        <v>5</v>
      </c>
      <c r="D134" s="21" t="n">
        <v>4</v>
      </c>
      <c r="E134" s="21" t="n">
        <v>5</v>
      </c>
      <c r="F134" s="21" t="n"/>
      <c r="G134" s="21" t="n">
        <v>3</v>
      </c>
      <c r="H134" s="21" t="n"/>
      <c r="I134" s="21" t="n">
        <v>2</v>
      </c>
      <c r="J134" s="21" t="n">
        <v>3</v>
      </c>
      <c r="K134" s="21" t="n"/>
      <c r="L134" s="21" t="n"/>
      <c r="M134" s="21" t="n"/>
      <c r="N134" s="21" t="n"/>
      <c r="O134" s="21" t="n"/>
      <c r="P134" s="21" t="n"/>
      <c r="Q134" s="21" t="n">
        <v>4</v>
      </c>
      <c r="R134" s="21" t="n"/>
      <c r="S134" s="21" t="n"/>
      <c r="T134" s="21" t="n"/>
      <c r="U134" s="21" t="n"/>
      <c r="V134" s="21" t="n"/>
      <c r="W134" s="21" t="n"/>
      <c r="X134" s="21" t="n"/>
      <c r="Y134" s="22">
        <f>INT(A134)</f>
        <v/>
      </c>
      <c r="Z134" s="21">
        <f>IF(Y134&lt;DATE(2025,3,6),1,IF(Y134&lt;DATE(2025,3,13),2,3))</f>
        <v/>
      </c>
      <c r="AA134" s="21">
        <f>COUNTBLANK(B134:X134)</f>
        <v/>
      </c>
      <c r="AB134" s="21">
        <f>B134&amp;"|"&amp;C134&amp;"|"&amp;D134&amp;"|"&amp;E134&amp;"|"&amp;F134&amp;"|"&amp;G134&amp;"|"&amp;H134&amp;"|"&amp;I134&amp;"|"&amp;J134&amp;"|"&amp;K134&amp;"|"&amp;L134&amp;"|"&amp;M134&amp;"|"&amp;N134&amp;"|"&amp;O134&amp;"|"&amp;P134&amp;"|"&amp;Q134&amp;"|"&amp;R134&amp;"|"&amp;S134&amp;"|"&amp;T134&amp;"|"&amp;U134&amp;"|"&amp;V134&amp;"|"&amp;W134&amp;"|"&amp;X134</f>
        <v/>
      </c>
      <c r="AC134" s="21">
        <f>IF(COUNTIF($AB$2:AB134,AB134)&gt;1,1,0)</f>
        <v/>
      </c>
      <c r="AD134" s="23">
        <f>STDEV(F134:X134)</f>
        <v/>
      </c>
      <c r="AE134" s="21">
        <f>IF(OR(AA134&gt;=8,AC134=1,AD134=0),0,1)</f>
        <v/>
      </c>
      <c r="AF134" s="21">
        <f>IF(AE134=1,"",IF(AC134=1,"Trùng",IF(AA134&gt;=8,"Bỏ trống "&amp;AA134&amp;" ô","Chọn cùng một mức")))</f>
        <v/>
      </c>
      <c r="AG134" s="23">
        <f>IF($AE134=1,AVERAGE(F134:I134),"")</f>
        <v/>
      </c>
      <c r="AH134" s="23">
        <f>IF($AE134=1,AVERAGE(J134:M134),"")</f>
        <v/>
      </c>
      <c r="AI134" s="23">
        <f>IF($AE134=1,AVERAGE(N134:Q134),"")</f>
        <v/>
      </c>
      <c r="AJ134" s="23">
        <f>IF($AE134=1,AVERAGE(R134:U134),"")</f>
        <v/>
      </c>
      <c r="AK134" s="23">
        <f>IF($AE134=1,AVERAGE(V134:X134),"")</f>
        <v/>
      </c>
    </row>
    <row r="135">
      <c r="A135" s="20" t="n">
        <v>45730.86458333334</v>
      </c>
      <c r="B135" s="21" t="n">
        <v>5</v>
      </c>
      <c r="C135" s="21" t="n">
        <v>5</v>
      </c>
      <c r="D135" s="21" t="n">
        <v>3</v>
      </c>
      <c r="E135" s="21" t="n">
        <v>1</v>
      </c>
      <c r="F135" s="21" t="n"/>
      <c r="G135" s="21" t="n">
        <v>1</v>
      </c>
      <c r="H135" s="21" t="n">
        <v>3</v>
      </c>
      <c r="I135" s="21" t="n">
        <v>1</v>
      </c>
      <c r="J135" s="21" t="n"/>
      <c r="K135" s="21" t="n"/>
      <c r="L135" s="21" t="n"/>
      <c r="M135" s="21" t="n"/>
      <c r="N135" s="21" t="n">
        <v>5</v>
      </c>
      <c r="O135" s="21" t="n">
        <v>5</v>
      </c>
      <c r="P135" s="21" t="n"/>
      <c r="Q135" s="21" t="n"/>
      <c r="R135" s="21" t="n"/>
      <c r="S135" s="21" t="n"/>
      <c r="T135" s="21" t="n"/>
      <c r="U135" s="21" t="n"/>
      <c r="V135" s="21" t="n"/>
      <c r="W135" s="21" t="n">
        <v>4</v>
      </c>
      <c r="X135" s="21" t="n"/>
      <c r="Y135" s="22">
        <f>INT(A135)</f>
        <v/>
      </c>
      <c r="Z135" s="21">
        <f>IF(Y135&lt;DATE(2025,3,6),1,IF(Y135&lt;DATE(2025,3,13),2,3))</f>
        <v/>
      </c>
      <c r="AA135" s="21">
        <f>COUNTBLANK(B135:X135)</f>
        <v/>
      </c>
      <c r="AB135" s="21">
        <f>B135&amp;"|"&amp;C135&amp;"|"&amp;D135&amp;"|"&amp;E135&amp;"|"&amp;F135&amp;"|"&amp;G135&amp;"|"&amp;H135&amp;"|"&amp;I135&amp;"|"&amp;J135&amp;"|"&amp;K135&amp;"|"&amp;L135&amp;"|"&amp;M135&amp;"|"&amp;N135&amp;"|"&amp;O135&amp;"|"&amp;P135&amp;"|"&amp;Q135&amp;"|"&amp;R135&amp;"|"&amp;S135&amp;"|"&amp;T135&amp;"|"&amp;U135&amp;"|"&amp;V135&amp;"|"&amp;W135&amp;"|"&amp;X135</f>
        <v/>
      </c>
      <c r="AC135" s="21">
        <f>IF(COUNTIF($AB$2:AB135,AB135)&gt;1,1,0)</f>
        <v/>
      </c>
      <c r="AD135" s="23">
        <f>STDEV(F135:X135)</f>
        <v/>
      </c>
      <c r="AE135" s="21">
        <f>IF(OR(AA135&gt;=8,AC135=1,AD135=0),0,1)</f>
        <v/>
      </c>
      <c r="AF135" s="21">
        <f>IF(AE135=1,"",IF(AC135=1,"Trùng",IF(AA135&gt;=8,"Bỏ trống "&amp;AA135&amp;" ô","Chọn cùng một mức")))</f>
        <v/>
      </c>
      <c r="AG135" s="23">
        <f>IF($AE135=1,AVERAGE(F135:I135),"")</f>
        <v/>
      </c>
      <c r="AH135" s="23">
        <f>IF($AE135=1,AVERAGE(J135:M135),"")</f>
        <v/>
      </c>
      <c r="AI135" s="23">
        <f>IF($AE135=1,AVERAGE(N135:Q135),"")</f>
        <v/>
      </c>
      <c r="AJ135" s="23">
        <f>IF($AE135=1,AVERAGE(R135:U135),"")</f>
        <v/>
      </c>
      <c r="AK135" s="23">
        <f>IF($AE135=1,AVERAGE(V135:X135),"")</f>
        <v/>
      </c>
    </row>
    <row r="136">
      <c r="A136" s="20" t="n">
        <v>45730.95347222222</v>
      </c>
      <c r="B136" s="21" t="n">
        <v>2</v>
      </c>
      <c r="C136" s="21" t="n">
        <v>2</v>
      </c>
      <c r="D136" s="21" t="n">
        <v>1</v>
      </c>
      <c r="E136" s="21" t="n">
        <v>2</v>
      </c>
      <c r="F136" s="21" t="n">
        <v>4</v>
      </c>
      <c r="G136" s="21" t="n">
        <v>4</v>
      </c>
      <c r="H136" s="21" t="n">
        <v>4</v>
      </c>
      <c r="I136" s="21" t="n">
        <v>4</v>
      </c>
      <c r="J136" s="21" t="n">
        <v>3</v>
      </c>
      <c r="K136" s="21" t="n">
        <v>4</v>
      </c>
      <c r="L136" s="21" t="n">
        <v>4</v>
      </c>
      <c r="M136" s="21" t="n">
        <v>3</v>
      </c>
      <c r="N136" s="21" t="n">
        <v>4</v>
      </c>
      <c r="O136" s="21" t="n">
        <v>3</v>
      </c>
      <c r="P136" s="21" t="n">
        <v>2</v>
      </c>
      <c r="Q136" s="21" t="n">
        <v>3</v>
      </c>
      <c r="R136" s="21" t="n">
        <v>2</v>
      </c>
      <c r="S136" s="21" t="n">
        <v>3</v>
      </c>
      <c r="T136" s="21" t="n">
        <v>3</v>
      </c>
      <c r="U136" s="21" t="n">
        <v>3</v>
      </c>
      <c r="V136" s="21" t="n">
        <v>4</v>
      </c>
      <c r="W136" s="21" t="n">
        <v>3</v>
      </c>
      <c r="X136" s="21" t="n">
        <v>4</v>
      </c>
      <c r="Y136" s="22">
        <f>INT(A136)</f>
        <v/>
      </c>
      <c r="Z136" s="21">
        <f>IF(Y136&lt;DATE(2025,3,6),1,IF(Y136&lt;DATE(2025,3,13),2,3))</f>
        <v/>
      </c>
      <c r="AA136" s="21">
        <f>COUNTBLANK(B136:X136)</f>
        <v/>
      </c>
      <c r="AB136" s="21">
        <f>B136&amp;"|"&amp;C136&amp;"|"&amp;D136&amp;"|"&amp;E136&amp;"|"&amp;F136&amp;"|"&amp;G136&amp;"|"&amp;H136&amp;"|"&amp;I136&amp;"|"&amp;J136&amp;"|"&amp;K136&amp;"|"&amp;L136&amp;"|"&amp;M136&amp;"|"&amp;N136&amp;"|"&amp;O136&amp;"|"&amp;P136&amp;"|"&amp;Q136&amp;"|"&amp;R136&amp;"|"&amp;S136&amp;"|"&amp;T136&amp;"|"&amp;U136&amp;"|"&amp;V136&amp;"|"&amp;W136&amp;"|"&amp;X136</f>
        <v/>
      </c>
      <c r="AC136" s="21">
        <f>IF(COUNTIF($AB$2:AB136,AB136)&gt;1,1,0)</f>
        <v/>
      </c>
      <c r="AD136" s="23">
        <f>STDEV(F136:X136)</f>
        <v/>
      </c>
      <c r="AE136" s="21">
        <f>IF(OR(AA136&gt;=8,AC136=1,AD136=0),0,1)</f>
        <v/>
      </c>
      <c r="AF136" s="21">
        <f>IF(AE136=1,"",IF(AC136=1,"Trùng",IF(AA136&gt;=8,"Bỏ trống "&amp;AA136&amp;" ô","Chọn cùng một mức")))</f>
        <v/>
      </c>
      <c r="AG136" s="23">
        <f>IF($AE136=1,AVERAGE(F136:I136),"")</f>
        <v/>
      </c>
      <c r="AH136" s="23">
        <f>IF($AE136=1,AVERAGE(J136:M136),"")</f>
        <v/>
      </c>
      <c r="AI136" s="23">
        <f>IF($AE136=1,AVERAGE(N136:Q136),"")</f>
        <v/>
      </c>
      <c r="AJ136" s="23">
        <f>IF($AE136=1,AVERAGE(R136:U136),"")</f>
        <v/>
      </c>
      <c r="AK136" s="23">
        <f>IF($AE136=1,AVERAGE(V136:X136),"")</f>
        <v/>
      </c>
    </row>
    <row r="137">
      <c r="A137" s="20" t="n">
        <v>45731.0125</v>
      </c>
      <c r="B137" s="21" t="n">
        <v>1</v>
      </c>
      <c r="C137" s="21" t="n">
        <v>1</v>
      </c>
      <c r="D137" s="21" t="n">
        <v>3</v>
      </c>
      <c r="E137" s="21" t="n">
        <v>2</v>
      </c>
      <c r="F137" s="21" t="n">
        <v>4</v>
      </c>
      <c r="G137" s="21" t="n">
        <v>5</v>
      </c>
      <c r="H137" s="21" t="n">
        <v>5</v>
      </c>
      <c r="I137" s="21" t="n">
        <v>4</v>
      </c>
      <c r="J137" s="21" t="n">
        <v>3</v>
      </c>
      <c r="K137" s="21" t="n">
        <v>4</v>
      </c>
      <c r="L137" s="21" t="n">
        <v>4</v>
      </c>
      <c r="M137" s="21" t="n">
        <v>2</v>
      </c>
      <c r="N137" s="21" t="n">
        <v>2</v>
      </c>
      <c r="O137" s="21" t="n">
        <v>3</v>
      </c>
      <c r="P137" s="21" t="n">
        <v>2</v>
      </c>
      <c r="Q137" s="21" t="n">
        <v>3</v>
      </c>
      <c r="R137" s="21" t="n">
        <v>3</v>
      </c>
      <c r="S137" s="21" t="n">
        <v>4</v>
      </c>
      <c r="T137" s="21" t="n">
        <v>3</v>
      </c>
      <c r="U137" s="21" t="n">
        <v>3</v>
      </c>
      <c r="V137" s="21" t="n">
        <v>3</v>
      </c>
      <c r="W137" s="21" t="n">
        <v>4</v>
      </c>
      <c r="X137" s="21" t="n">
        <v>5</v>
      </c>
      <c r="Y137" s="22">
        <f>INT(A137)</f>
        <v/>
      </c>
      <c r="Z137" s="21">
        <f>IF(Y137&lt;DATE(2025,3,6),1,IF(Y137&lt;DATE(2025,3,13),2,3))</f>
        <v/>
      </c>
      <c r="AA137" s="21">
        <f>COUNTBLANK(B137:X137)</f>
        <v/>
      </c>
      <c r="AB137" s="21">
        <f>B137&amp;"|"&amp;C137&amp;"|"&amp;D137&amp;"|"&amp;E137&amp;"|"&amp;F137&amp;"|"&amp;G137&amp;"|"&amp;H137&amp;"|"&amp;I137&amp;"|"&amp;J137&amp;"|"&amp;K137&amp;"|"&amp;L137&amp;"|"&amp;M137&amp;"|"&amp;N137&amp;"|"&amp;O137&amp;"|"&amp;P137&amp;"|"&amp;Q137&amp;"|"&amp;R137&amp;"|"&amp;S137&amp;"|"&amp;T137&amp;"|"&amp;U137&amp;"|"&amp;V137&amp;"|"&amp;W137&amp;"|"&amp;X137</f>
        <v/>
      </c>
      <c r="AC137" s="21">
        <f>IF(COUNTIF($AB$2:AB137,AB137)&gt;1,1,0)</f>
        <v/>
      </c>
      <c r="AD137" s="23">
        <f>STDEV(F137:X137)</f>
        <v/>
      </c>
      <c r="AE137" s="21">
        <f>IF(OR(AA137&gt;=8,AC137=1,AD137=0),0,1)</f>
        <v/>
      </c>
      <c r="AF137" s="21">
        <f>IF(AE137=1,"",IF(AC137=1,"Trùng",IF(AA137&gt;=8,"Bỏ trống "&amp;AA137&amp;" ô","Chọn cùng một mức")))</f>
        <v/>
      </c>
      <c r="AG137" s="23">
        <f>IF($AE137=1,AVERAGE(F137:I137),"")</f>
        <v/>
      </c>
      <c r="AH137" s="23">
        <f>IF($AE137=1,AVERAGE(J137:M137),"")</f>
        <v/>
      </c>
      <c r="AI137" s="23">
        <f>IF($AE137=1,AVERAGE(N137:Q137),"")</f>
        <v/>
      </c>
      <c r="AJ137" s="23">
        <f>IF($AE137=1,AVERAGE(R137:U137),"")</f>
        <v/>
      </c>
      <c r="AK137" s="23">
        <f>IF($AE137=1,AVERAGE(V137:X137),"")</f>
        <v/>
      </c>
    </row>
    <row r="138">
      <c r="A138" s="20" t="n">
        <v>45731.10972222222</v>
      </c>
      <c r="B138" s="21" t="n">
        <v>1</v>
      </c>
      <c r="C138" s="21" t="n">
        <v>3</v>
      </c>
      <c r="D138" s="21" t="n">
        <v>3</v>
      </c>
      <c r="E138" s="21" t="n">
        <v>2</v>
      </c>
      <c r="F138" s="21" t="n">
        <v>3</v>
      </c>
      <c r="G138" s="21" t="n">
        <v>2</v>
      </c>
      <c r="H138" s="21" t="n">
        <v>3</v>
      </c>
      <c r="I138" s="21" t="n">
        <v>3</v>
      </c>
      <c r="J138" s="21" t="n">
        <v>3</v>
      </c>
      <c r="K138" s="21" t="n">
        <v>3</v>
      </c>
      <c r="L138" s="21" t="n">
        <v>3</v>
      </c>
      <c r="M138" s="21" t="n">
        <v>4</v>
      </c>
      <c r="N138" s="21" t="n">
        <v>1</v>
      </c>
      <c r="O138" s="21" t="n">
        <v>2</v>
      </c>
      <c r="P138" s="21" t="n">
        <v>2</v>
      </c>
      <c r="Q138" s="21" t="n">
        <v>2</v>
      </c>
      <c r="R138" s="21" t="n">
        <v>4</v>
      </c>
      <c r="S138" s="21" t="n">
        <v>4</v>
      </c>
      <c r="T138" s="21" t="n">
        <v>4</v>
      </c>
      <c r="U138" s="21" t="n">
        <v>3</v>
      </c>
      <c r="V138" s="21" t="n">
        <v>3</v>
      </c>
      <c r="W138" s="21" t="n">
        <v>2</v>
      </c>
      <c r="X138" s="21" t="n">
        <v>3</v>
      </c>
      <c r="Y138" s="22">
        <f>INT(A138)</f>
        <v/>
      </c>
      <c r="Z138" s="21">
        <f>IF(Y138&lt;DATE(2025,3,6),1,IF(Y138&lt;DATE(2025,3,13),2,3))</f>
        <v/>
      </c>
      <c r="AA138" s="21">
        <f>COUNTBLANK(B138:X138)</f>
        <v/>
      </c>
      <c r="AB138" s="21">
        <f>B138&amp;"|"&amp;C138&amp;"|"&amp;D138&amp;"|"&amp;E138&amp;"|"&amp;F138&amp;"|"&amp;G138&amp;"|"&amp;H138&amp;"|"&amp;I138&amp;"|"&amp;J138&amp;"|"&amp;K138&amp;"|"&amp;L138&amp;"|"&amp;M138&amp;"|"&amp;N138&amp;"|"&amp;O138&amp;"|"&amp;P138&amp;"|"&amp;Q138&amp;"|"&amp;R138&amp;"|"&amp;S138&amp;"|"&amp;T138&amp;"|"&amp;U138&amp;"|"&amp;V138&amp;"|"&amp;W138&amp;"|"&amp;X138</f>
        <v/>
      </c>
      <c r="AC138" s="21">
        <f>IF(COUNTIF($AB$2:AB138,AB138)&gt;1,1,0)</f>
        <v/>
      </c>
      <c r="AD138" s="23">
        <f>STDEV(F138:X138)</f>
        <v/>
      </c>
      <c r="AE138" s="21">
        <f>IF(OR(AA138&gt;=8,AC138=1,AD138=0),0,1)</f>
        <v/>
      </c>
      <c r="AF138" s="21">
        <f>IF(AE138=1,"",IF(AC138=1,"Trùng",IF(AA138&gt;=8,"Bỏ trống "&amp;AA138&amp;" ô","Chọn cùng một mức")))</f>
        <v/>
      </c>
      <c r="AG138" s="23">
        <f>IF($AE138=1,AVERAGE(F138:I138),"")</f>
        <v/>
      </c>
      <c r="AH138" s="23">
        <f>IF($AE138=1,AVERAGE(J138:M138),"")</f>
        <v/>
      </c>
      <c r="AI138" s="23">
        <f>IF($AE138=1,AVERAGE(N138:Q138),"")</f>
        <v/>
      </c>
      <c r="AJ138" s="23">
        <f>IF($AE138=1,AVERAGE(R138:U138),"")</f>
        <v/>
      </c>
      <c r="AK138" s="23">
        <f>IF($AE138=1,AVERAGE(V138:X138),"")</f>
        <v/>
      </c>
    </row>
    <row r="139">
      <c r="A139" s="20" t="n">
        <v>45731.23333333333</v>
      </c>
      <c r="B139" s="21" t="n">
        <v>2</v>
      </c>
      <c r="C139" s="21" t="n">
        <v>2</v>
      </c>
      <c r="D139" s="21" t="n">
        <v>2</v>
      </c>
      <c r="E139" s="21" t="n">
        <v>2</v>
      </c>
      <c r="F139" s="21" t="n">
        <v>5</v>
      </c>
      <c r="G139" s="21" t="n">
        <v>3</v>
      </c>
      <c r="H139" s="21" t="n">
        <v>4</v>
      </c>
      <c r="I139" s="21" t="n">
        <v>4</v>
      </c>
      <c r="J139" s="21" t="n">
        <v>4</v>
      </c>
      <c r="K139" s="21" t="n">
        <v>5</v>
      </c>
      <c r="L139" s="21" t="n">
        <v>4</v>
      </c>
      <c r="M139" s="21" t="n">
        <v>4</v>
      </c>
      <c r="N139" s="21" t="n">
        <v>5</v>
      </c>
      <c r="O139" s="21" t="n">
        <v>4</v>
      </c>
      <c r="P139" s="21" t="n">
        <v>4</v>
      </c>
      <c r="Q139" s="21" t="n">
        <v>3</v>
      </c>
      <c r="R139" s="21" t="n">
        <v>4</v>
      </c>
      <c r="S139" s="21" t="n">
        <v>4</v>
      </c>
      <c r="T139" s="21" t="n">
        <v>4</v>
      </c>
      <c r="U139" s="21" t="n">
        <v>3</v>
      </c>
      <c r="V139" s="21" t="n">
        <v>5</v>
      </c>
      <c r="W139" s="21" t="n">
        <v>5</v>
      </c>
      <c r="X139" s="21" t="n">
        <v>5</v>
      </c>
      <c r="Y139" s="22">
        <f>INT(A139)</f>
        <v/>
      </c>
      <c r="Z139" s="21">
        <f>IF(Y139&lt;DATE(2025,3,6),1,IF(Y139&lt;DATE(2025,3,13),2,3))</f>
        <v/>
      </c>
      <c r="AA139" s="21">
        <f>COUNTBLANK(B139:X139)</f>
        <v/>
      </c>
      <c r="AB139" s="21">
        <f>B139&amp;"|"&amp;C139&amp;"|"&amp;D139&amp;"|"&amp;E139&amp;"|"&amp;F139&amp;"|"&amp;G139&amp;"|"&amp;H139&amp;"|"&amp;I139&amp;"|"&amp;J139&amp;"|"&amp;K139&amp;"|"&amp;L139&amp;"|"&amp;M139&amp;"|"&amp;N139&amp;"|"&amp;O139&amp;"|"&amp;P139&amp;"|"&amp;Q139&amp;"|"&amp;R139&amp;"|"&amp;S139&amp;"|"&amp;T139&amp;"|"&amp;U139&amp;"|"&amp;V139&amp;"|"&amp;W139&amp;"|"&amp;X139</f>
        <v/>
      </c>
      <c r="AC139" s="21">
        <f>IF(COUNTIF($AB$2:AB139,AB139)&gt;1,1,0)</f>
        <v/>
      </c>
      <c r="AD139" s="23">
        <f>STDEV(F139:X139)</f>
        <v/>
      </c>
      <c r="AE139" s="21">
        <f>IF(OR(AA139&gt;=8,AC139=1,AD139=0),0,1)</f>
        <v/>
      </c>
      <c r="AF139" s="21">
        <f>IF(AE139=1,"",IF(AC139=1,"Trùng",IF(AA139&gt;=8,"Bỏ trống "&amp;AA139&amp;" ô","Chọn cùng một mức")))</f>
        <v/>
      </c>
      <c r="AG139" s="23">
        <f>IF($AE139=1,AVERAGE(F139:I139),"")</f>
        <v/>
      </c>
      <c r="AH139" s="23">
        <f>IF($AE139=1,AVERAGE(J139:M139),"")</f>
        <v/>
      </c>
      <c r="AI139" s="23">
        <f>IF($AE139=1,AVERAGE(N139:Q139),"")</f>
        <v/>
      </c>
      <c r="AJ139" s="23">
        <f>IF($AE139=1,AVERAGE(R139:U139),"")</f>
        <v/>
      </c>
      <c r="AK139" s="23">
        <f>IF($AE139=1,AVERAGE(V139:X139),"")</f>
        <v/>
      </c>
    </row>
    <row r="140">
      <c r="A140" s="20" t="n">
        <v>45731.23402777778</v>
      </c>
      <c r="B140" s="21" t="n">
        <v>2</v>
      </c>
      <c r="C140" s="21" t="n">
        <v>2</v>
      </c>
      <c r="D140" s="21" t="n">
        <v>2</v>
      </c>
      <c r="E140" s="21" t="n">
        <v>2</v>
      </c>
      <c r="F140" s="21" t="n">
        <v>5</v>
      </c>
      <c r="G140" s="21" t="n">
        <v>3</v>
      </c>
      <c r="H140" s="21" t="n">
        <v>4</v>
      </c>
      <c r="I140" s="21" t="n">
        <v>4</v>
      </c>
      <c r="J140" s="21" t="n">
        <v>4</v>
      </c>
      <c r="K140" s="21" t="n">
        <v>5</v>
      </c>
      <c r="L140" s="21" t="n">
        <v>4</v>
      </c>
      <c r="M140" s="21" t="n">
        <v>4</v>
      </c>
      <c r="N140" s="21" t="n">
        <v>5</v>
      </c>
      <c r="O140" s="21" t="n">
        <v>4</v>
      </c>
      <c r="P140" s="21" t="n">
        <v>4</v>
      </c>
      <c r="Q140" s="21" t="n">
        <v>3</v>
      </c>
      <c r="R140" s="21" t="n">
        <v>4</v>
      </c>
      <c r="S140" s="21" t="n">
        <v>4</v>
      </c>
      <c r="T140" s="21" t="n">
        <v>4</v>
      </c>
      <c r="U140" s="21" t="n">
        <v>3</v>
      </c>
      <c r="V140" s="21" t="n">
        <v>5</v>
      </c>
      <c r="W140" s="21" t="n">
        <v>5</v>
      </c>
      <c r="X140" s="21" t="n">
        <v>5</v>
      </c>
      <c r="Y140" s="22">
        <f>INT(A140)</f>
        <v/>
      </c>
      <c r="Z140" s="21">
        <f>IF(Y140&lt;DATE(2025,3,6),1,IF(Y140&lt;DATE(2025,3,13),2,3))</f>
        <v/>
      </c>
      <c r="AA140" s="21">
        <f>COUNTBLANK(B140:X140)</f>
        <v/>
      </c>
      <c r="AB140" s="21">
        <f>B140&amp;"|"&amp;C140&amp;"|"&amp;D140&amp;"|"&amp;E140&amp;"|"&amp;F140&amp;"|"&amp;G140&amp;"|"&amp;H140&amp;"|"&amp;I140&amp;"|"&amp;J140&amp;"|"&amp;K140&amp;"|"&amp;L140&amp;"|"&amp;M140&amp;"|"&amp;N140&amp;"|"&amp;O140&amp;"|"&amp;P140&amp;"|"&amp;Q140&amp;"|"&amp;R140&amp;"|"&amp;S140&amp;"|"&amp;T140&amp;"|"&amp;U140&amp;"|"&amp;V140&amp;"|"&amp;W140&amp;"|"&amp;X140</f>
        <v/>
      </c>
      <c r="AC140" s="21">
        <f>IF(COUNTIF($AB$2:AB140,AB140)&gt;1,1,0)</f>
        <v/>
      </c>
      <c r="AD140" s="23">
        <f>STDEV(F140:X140)</f>
        <v/>
      </c>
      <c r="AE140" s="21">
        <f>IF(OR(AA140&gt;=8,AC140=1,AD140=0),0,1)</f>
        <v/>
      </c>
      <c r="AF140" s="21">
        <f>IF(AE140=1,"",IF(AC140=1,"Trùng",IF(AA140&gt;=8,"Bỏ trống "&amp;AA140&amp;" ô","Chọn cùng một mức")))</f>
        <v/>
      </c>
      <c r="AG140" s="23">
        <f>IF($AE140=1,AVERAGE(F140:I140),"")</f>
        <v/>
      </c>
      <c r="AH140" s="23">
        <f>IF($AE140=1,AVERAGE(J140:M140),"")</f>
        <v/>
      </c>
      <c r="AI140" s="23">
        <f>IF($AE140=1,AVERAGE(N140:Q140),"")</f>
        <v/>
      </c>
      <c r="AJ140" s="23">
        <f>IF($AE140=1,AVERAGE(R140:U140),"")</f>
        <v/>
      </c>
      <c r="AK140" s="23">
        <f>IF($AE140=1,AVERAGE(V140:X140),"")</f>
        <v/>
      </c>
    </row>
    <row r="141">
      <c r="A141" s="20" t="n">
        <v>45731.29166666666</v>
      </c>
      <c r="B141" s="21" t="n">
        <v>2</v>
      </c>
      <c r="C141" s="21" t="n">
        <v>2</v>
      </c>
      <c r="D141" s="21" t="n">
        <v>1</v>
      </c>
      <c r="E141" s="21" t="n">
        <v>2</v>
      </c>
      <c r="F141" s="21" t="n">
        <v>5</v>
      </c>
      <c r="G141" s="21" t="n">
        <v>5</v>
      </c>
      <c r="H141" s="21" t="n">
        <v>5</v>
      </c>
      <c r="I141" s="21" t="n">
        <v>4</v>
      </c>
      <c r="J141" s="21" t="n">
        <v>5</v>
      </c>
      <c r="K141" s="21" t="n">
        <v>5</v>
      </c>
      <c r="L141" s="21" t="n">
        <v>4</v>
      </c>
      <c r="M141" s="21" t="n">
        <v>3</v>
      </c>
      <c r="N141" s="21" t="n">
        <v>4</v>
      </c>
      <c r="O141" s="21" t="n">
        <v>4</v>
      </c>
      <c r="P141" s="21" t="n">
        <v>5</v>
      </c>
      <c r="Q141" s="21" t="n">
        <v>5</v>
      </c>
      <c r="R141" s="21" t="n">
        <v>4</v>
      </c>
      <c r="S141" s="21" t="n">
        <v>4</v>
      </c>
      <c r="T141" s="21" t="n">
        <v>3</v>
      </c>
      <c r="U141" s="21" t="n">
        <v>4</v>
      </c>
      <c r="V141" s="21" t="n">
        <v>5</v>
      </c>
      <c r="W141" s="21" t="n">
        <v>5</v>
      </c>
      <c r="X141" s="21" t="n">
        <v>4</v>
      </c>
      <c r="Y141" s="22">
        <f>INT(A141)</f>
        <v/>
      </c>
      <c r="Z141" s="21">
        <f>IF(Y141&lt;DATE(2025,3,6),1,IF(Y141&lt;DATE(2025,3,13),2,3))</f>
        <v/>
      </c>
      <c r="AA141" s="21">
        <f>COUNTBLANK(B141:X141)</f>
        <v/>
      </c>
      <c r="AB141" s="21">
        <f>B141&amp;"|"&amp;C141&amp;"|"&amp;D141&amp;"|"&amp;E141&amp;"|"&amp;F141&amp;"|"&amp;G141&amp;"|"&amp;H141&amp;"|"&amp;I141&amp;"|"&amp;J141&amp;"|"&amp;K141&amp;"|"&amp;L141&amp;"|"&amp;M141&amp;"|"&amp;N141&amp;"|"&amp;O141&amp;"|"&amp;P141&amp;"|"&amp;Q141&amp;"|"&amp;R141&amp;"|"&amp;S141&amp;"|"&amp;T141&amp;"|"&amp;U141&amp;"|"&amp;V141&amp;"|"&amp;W141&amp;"|"&amp;X141</f>
        <v/>
      </c>
      <c r="AC141" s="21">
        <f>IF(COUNTIF($AB$2:AB141,AB141)&gt;1,1,0)</f>
        <v/>
      </c>
      <c r="AD141" s="23">
        <f>STDEV(F141:X141)</f>
        <v/>
      </c>
      <c r="AE141" s="21">
        <f>IF(OR(AA141&gt;=8,AC141=1,AD141=0),0,1)</f>
        <v/>
      </c>
      <c r="AF141" s="21">
        <f>IF(AE141=1,"",IF(AC141=1,"Trùng",IF(AA141&gt;=8,"Bỏ trống "&amp;AA141&amp;" ô","Chọn cùng một mức")))</f>
        <v/>
      </c>
      <c r="AG141" s="23">
        <f>IF($AE141=1,AVERAGE(F141:I141),"")</f>
        <v/>
      </c>
      <c r="AH141" s="23">
        <f>IF($AE141=1,AVERAGE(J141:M141),"")</f>
        <v/>
      </c>
      <c r="AI141" s="23">
        <f>IF($AE141=1,AVERAGE(N141:Q141),"")</f>
        <v/>
      </c>
      <c r="AJ141" s="23">
        <f>IF($AE141=1,AVERAGE(R141:U141),"")</f>
        <v/>
      </c>
      <c r="AK141" s="23">
        <f>IF($AE141=1,AVERAGE(V141:X141),"")</f>
        <v/>
      </c>
    </row>
    <row r="142">
      <c r="A142" s="20" t="n">
        <v>45731.32361111111</v>
      </c>
      <c r="B142" s="21" t="n">
        <v>1</v>
      </c>
      <c r="C142" s="21" t="n">
        <v>1</v>
      </c>
      <c r="D142" s="21" t="n">
        <v>2</v>
      </c>
      <c r="E142" s="21" t="n">
        <v>2</v>
      </c>
      <c r="F142" s="21" t="n">
        <v>5</v>
      </c>
      <c r="G142" s="21" t="n">
        <v>4</v>
      </c>
      <c r="H142" s="21" t="n">
        <v>5</v>
      </c>
      <c r="I142" s="21" t="n">
        <v>5</v>
      </c>
      <c r="J142" s="21" t="n">
        <v>4</v>
      </c>
      <c r="K142" s="21" t="n">
        <v>4</v>
      </c>
      <c r="L142" s="21" t="n">
        <v>4</v>
      </c>
      <c r="M142" s="21" t="n">
        <v>4</v>
      </c>
      <c r="N142" s="21" t="n">
        <v>4</v>
      </c>
      <c r="O142" s="21" t="n">
        <v>4</v>
      </c>
      <c r="P142" s="21" t="n">
        <v>3</v>
      </c>
      <c r="Q142" s="21" t="n">
        <v>3</v>
      </c>
      <c r="R142" s="21" t="n">
        <v>4</v>
      </c>
      <c r="S142" s="21" t="n">
        <v>3</v>
      </c>
      <c r="T142" s="21" t="n">
        <v>3</v>
      </c>
      <c r="U142" s="21" t="n">
        <v>3</v>
      </c>
      <c r="V142" s="21" t="n">
        <v>5</v>
      </c>
      <c r="W142" s="21" t="n">
        <v>5</v>
      </c>
      <c r="X142" s="21" t="n">
        <v>5</v>
      </c>
      <c r="Y142" s="22">
        <f>INT(A142)</f>
        <v/>
      </c>
      <c r="Z142" s="21">
        <f>IF(Y142&lt;DATE(2025,3,6),1,IF(Y142&lt;DATE(2025,3,13),2,3))</f>
        <v/>
      </c>
      <c r="AA142" s="21">
        <f>COUNTBLANK(B142:X142)</f>
        <v/>
      </c>
      <c r="AB142" s="21">
        <f>B142&amp;"|"&amp;C142&amp;"|"&amp;D142&amp;"|"&amp;E142&amp;"|"&amp;F142&amp;"|"&amp;G142&amp;"|"&amp;H142&amp;"|"&amp;I142&amp;"|"&amp;J142&amp;"|"&amp;K142&amp;"|"&amp;L142&amp;"|"&amp;M142&amp;"|"&amp;N142&amp;"|"&amp;O142&amp;"|"&amp;P142&amp;"|"&amp;Q142&amp;"|"&amp;R142&amp;"|"&amp;S142&amp;"|"&amp;T142&amp;"|"&amp;U142&amp;"|"&amp;V142&amp;"|"&amp;W142&amp;"|"&amp;X142</f>
        <v/>
      </c>
      <c r="AC142" s="21">
        <f>IF(COUNTIF($AB$2:AB142,AB142)&gt;1,1,0)</f>
        <v/>
      </c>
      <c r="AD142" s="23">
        <f>STDEV(F142:X142)</f>
        <v/>
      </c>
      <c r="AE142" s="21">
        <f>IF(OR(AA142&gt;=8,AC142=1,AD142=0),0,1)</f>
        <v/>
      </c>
      <c r="AF142" s="21">
        <f>IF(AE142=1,"",IF(AC142=1,"Trùng",IF(AA142&gt;=8,"Bỏ trống "&amp;AA142&amp;" ô","Chọn cùng một mức")))</f>
        <v/>
      </c>
      <c r="AG142" s="23">
        <f>IF($AE142=1,AVERAGE(F142:I142),"")</f>
        <v/>
      </c>
      <c r="AH142" s="23">
        <f>IF($AE142=1,AVERAGE(J142:M142),"")</f>
        <v/>
      </c>
      <c r="AI142" s="23">
        <f>IF($AE142=1,AVERAGE(N142:Q142),"")</f>
        <v/>
      </c>
      <c r="AJ142" s="23">
        <f>IF($AE142=1,AVERAGE(R142:U142),"")</f>
        <v/>
      </c>
      <c r="AK142" s="23">
        <f>IF($AE142=1,AVERAGE(V142:X142),"")</f>
        <v/>
      </c>
    </row>
    <row r="143">
      <c r="A143" s="20" t="n">
        <v>45731.54930555556</v>
      </c>
      <c r="B143" s="21" t="n">
        <v>1</v>
      </c>
      <c r="C143" s="21" t="n">
        <v>2</v>
      </c>
      <c r="D143" s="21" t="n">
        <v>2</v>
      </c>
      <c r="E143" s="21" t="n">
        <v>3</v>
      </c>
      <c r="F143" s="21" t="n">
        <v>4</v>
      </c>
      <c r="G143" s="21" t="n">
        <v>5</v>
      </c>
      <c r="H143" s="21" t="n">
        <v>5</v>
      </c>
      <c r="I143" s="21" t="n">
        <v>5</v>
      </c>
      <c r="J143" s="21" t="n">
        <v>4</v>
      </c>
      <c r="K143" s="21" t="n">
        <v>5</v>
      </c>
      <c r="L143" s="21" t="n">
        <v>4</v>
      </c>
      <c r="M143" s="21" t="n">
        <v>5</v>
      </c>
      <c r="N143" s="21" t="n">
        <v>4</v>
      </c>
      <c r="O143" s="21" t="n">
        <v>3</v>
      </c>
      <c r="P143" s="21" t="n">
        <v>2</v>
      </c>
      <c r="Q143" s="21" t="n">
        <v>3</v>
      </c>
      <c r="R143" s="21" t="n">
        <v>4</v>
      </c>
      <c r="S143" s="21" t="n">
        <v>4</v>
      </c>
      <c r="T143" s="21" t="n">
        <v>5</v>
      </c>
      <c r="U143" s="21" t="n">
        <v>2</v>
      </c>
      <c r="V143" s="21" t="n">
        <v>4</v>
      </c>
      <c r="W143" s="21" t="n">
        <v>3</v>
      </c>
      <c r="X143" s="21" t="n">
        <v>3</v>
      </c>
      <c r="Y143" s="22">
        <f>INT(A143)</f>
        <v/>
      </c>
      <c r="Z143" s="21">
        <f>IF(Y143&lt;DATE(2025,3,6),1,IF(Y143&lt;DATE(2025,3,13),2,3))</f>
        <v/>
      </c>
      <c r="AA143" s="21">
        <f>COUNTBLANK(B143:X143)</f>
        <v/>
      </c>
      <c r="AB143" s="21">
        <f>B143&amp;"|"&amp;C143&amp;"|"&amp;D143&amp;"|"&amp;E143&amp;"|"&amp;F143&amp;"|"&amp;G143&amp;"|"&amp;H143&amp;"|"&amp;I143&amp;"|"&amp;J143&amp;"|"&amp;K143&amp;"|"&amp;L143&amp;"|"&amp;M143&amp;"|"&amp;N143&amp;"|"&amp;O143&amp;"|"&amp;P143&amp;"|"&amp;Q143&amp;"|"&amp;R143&amp;"|"&amp;S143&amp;"|"&amp;T143&amp;"|"&amp;U143&amp;"|"&amp;V143&amp;"|"&amp;W143&amp;"|"&amp;X143</f>
        <v/>
      </c>
      <c r="AC143" s="21">
        <f>IF(COUNTIF($AB$2:AB143,AB143)&gt;1,1,0)</f>
        <v/>
      </c>
      <c r="AD143" s="23">
        <f>STDEV(F143:X143)</f>
        <v/>
      </c>
      <c r="AE143" s="21">
        <f>IF(OR(AA143&gt;=8,AC143=1,AD143=0),0,1)</f>
        <v/>
      </c>
      <c r="AF143" s="21">
        <f>IF(AE143=1,"",IF(AC143=1,"Trùng",IF(AA143&gt;=8,"Bỏ trống "&amp;AA143&amp;" ô","Chọn cùng một mức")))</f>
        <v/>
      </c>
      <c r="AG143" s="23">
        <f>IF($AE143=1,AVERAGE(F143:I143),"")</f>
        <v/>
      </c>
      <c r="AH143" s="23">
        <f>IF($AE143=1,AVERAGE(J143:M143),"")</f>
        <v/>
      </c>
      <c r="AI143" s="23">
        <f>IF($AE143=1,AVERAGE(N143:Q143),"")</f>
        <v/>
      </c>
      <c r="AJ143" s="23">
        <f>IF($AE143=1,AVERAGE(R143:U143),"")</f>
        <v/>
      </c>
      <c r="AK143" s="23">
        <f>IF($AE143=1,AVERAGE(V143:X143),"")</f>
        <v/>
      </c>
    </row>
    <row r="144">
      <c r="A144" s="20" t="n">
        <v>45731.64930555555</v>
      </c>
      <c r="B144" s="21" t="n">
        <v>1</v>
      </c>
      <c r="C144" s="21" t="n">
        <v>1</v>
      </c>
      <c r="D144" s="21" t="n">
        <v>1</v>
      </c>
      <c r="E144" s="21" t="n">
        <v>2</v>
      </c>
      <c r="F144" s="21" t="n">
        <v>5</v>
      </c>
      <c r="G144" s="21" t="n">
        <v>4</v>
      </c>
      <c r="H144" s="21" t="n">
        <v>5</v>
      </c>
      <c r="I144" s="21" t="n">
        <v>3</v>
      </c>
      <c r="J144" s="21" t="n">
        <v>3</v>
      </c>
      <c r="K144" s="21" t="n">
        <v>3</v>
      </c>
      <c r="L144" s="21" t="n">
        <v>4</v>
      </c>
      <c r="M144" s="21" t="n">
        <v>2</v>
      </c>
      <c r="N144" s="21" t="n">
        <v>3</v>
      </c>
      <c r="O144" s="21" t="n">
        <v>3</v>
      </c>
      <c r="P144" s="21" t="n">
        <v>4</v>
      </c>
      <c r="Q144" s="21" t="n">
        <v>2</v>
      </c>
      <c r="R144" s="21" t="n">
        <v>3</v>
      </c>
      <c r="S144" s="21" t="n">
        <v>4</v>
      </c>
      <c r="T144" s="21" t="n">
        <v>4</v>
      </c>
      <c r="U144" s="21" t="n">
        <v>3</v>
      </c>
      <c r="V144" s="21" t="n">
        <v>4</v>
      </c>
      <c r="W144" s="21" t="n">
        <v>5</v>
      </c>
      <c r="X144" s="21" t="n">
        <v>4</v>
      </c>
      <c r="Y144" s="22">
        <f>INT(A144)</f>
        <v/>
      </c>
      <c r="Z144" s="21">
        <f>IF(Y144&lt;DATE(2025,3,6),1,IF(Y144&lt;DATE(2025,3,13),2,3))</f>
        <v/>
      </c>
      <c r="AA144" s="21">
        <f>COUNTBLANK(B144:X144)</f>
        <v/>
      </c>
      <c r="AB144" s="21">
        <f>B144&amp;"|"&amp;C144&amp;"|"&amp;D144&amp;"|"&amp;E144&amp;"|"&amp;F144&amp;"|"&amp;G144&amp;"|"&amp;H144&amp;"|"&amp;I144&amp;"|"&amp;J144&amp;"|"&amp;K144&amp;"|"&amp;L144&amp;"|"&amp;M144&amp;"|"&amp;N144&amp;"|"&amp;O144&amp;"|"&amp;P144&amp;"|"&amp;Q144&amp;"|"&amp;R144&amp;"|"&amp;S144&amp;"|"&amp;T144&amp;"|"&amp;U144&amp;"|"&amp;V144&amp;"|"&amp;W144&amp;"|"&amp;X144</f>
        <v/>
      </c>
      <c r="AC144" s="21">
        <f>IF(COUNTIF($AB$2:AB144,AB144)&gt;1,1,0)</f>
        <v/>
      </c>
      <c r="AD144" s="23">
        <f>STDEV(F144:X144)</f>
        <v/>
      </c>
      <c r="AE144" s="21">
        <f>IF(OR(AA144&gt;=8,AC144=1,AD144=0),0,1)</f>
        <v/>
      </c>
      <c r="AF144" s="21">
        <f>IF(AE144=1,"",IF(AC144=1,"Trùng",IF(AA144&gt;=8,"Bỏ trống "&amp;AA144&amp;" ô","Chọn cùng một mức")))</f>
        <v/>
      </c>
      <c r="AG144" s="23">
        <f>IF($AE144=1,AVERAGE(F144:I144),"")</f>
        <v/>
      </c>
      <c r="AH144" s="23">
        <f>IF($AE144=1,AVERAGE(J144:M144),"")</f>
        <v/>
      </c>
      <c r="AI144" s="23">
        <f>IF($AE144=1,AVERAGE(N144:Q144),"")</f>
        <v/>
      </c>
      <c r="AJ144" s="23">
        <f>IF($AE144=1,AVERAGE(R144:U144),"")</f>
        <v/>
      </c>
      <c r="AK144" s="23">
        <f>IF($AE144=1,AVERAGE(V144:X144),"")</f>
        <v/>
      </c>
    </row>
    <row r="145">
      <c r="A145" s="20" t="n">
        <v>45731.74791666667</v>
      </c>
      <c r="B145" s="21" t="n">
        <v>1</v>
      </c>
      <c r="C145" s="21" t="n">
        <v>2</v>
      </c>
      <c r="D145" s="21" t="n">
        <v>2</v>
      </c>
      <c r="E145" s="21" t="n">
        <v>3</v>
      </c>
      <c r="F145" s="21" t="n">
        <v>4</v>
      </c>
      <c r="G145" s="21" t="n">
        <v>5</v>
      </c>
      <c r="H145" s="21" t="n">
        <v>5</v>
      </c>
      <c r="I145" s="21" t="n">
        <v>5</v>
      </c>
      <c r="J145" s="21" t="n">
        <v>4</v>
      </c>
      <c r="K145" s="21" t="n">
        <v>3</v>
      </c>
      <c r="L145" s="21" t="n">
        <v>4</v>
      </c>
      <c r="M145" s="21" t="n">
        <v>5</v>
      </c>
      <c r="N145" s="21" t="n">
        <v>3</v>
      </c>
      <c r="O145" s="21" t="n">
        <v>5</v>
      </c>
      <c r="P145" s="21" t="n">
        <v>3</v>
      </c>
      <c r="Q145" s="21" t="n">
        <v>4</v>
      </c>
      <c r="R145" s="21" t="n">
        <v>4</v>
      </c>
      <c r="S145" s="21" t="n">
        <v>3</v>
      </c>
      <c r="T145" s="21" t="n">
        <v>4</v>
      </c>
      <c r="U145" s="21" t="n">
        <v>4</v>
      </c>
      <c r="V145" s="21" t="n">
        <v>4</v>
      </c>
      <c r="W145" s="21" t="n">
        <v>5</v>
      </c>
      <c r="X145" s="21" t="n">
        <v>5</v>
      </c>
      <c r="Y145" s="22">
        <f>INT(A145)</f>
        <v/>
      </c>
      <c r="Z145" s="21">
        <f>IF(Y145&lt;DATE(2025,3,6),1,IF(Y145&lt;DATE(2025,3,13),2,3))</f>
        <v/>
      </c>
      <c r="AA145" s="21">
        <f>COUNTBLANK(B145:X145)</f>
        <v/>
      </c>
      <c r="AB145" s="21">
        <f>B145&amp;"|"&amp;C145&amp;"|"&amp;D145&amp;"|"&amp;E145&amp;"|"&amp;F145&amp;"|"&amp;G145&amp;"|"&amp;H145&amp;"|"&amp;I145&amp;"|"&amp;J145&amp;"|"&amp;K145&amp;"|"&amp;L145&amp;"|"&amp;M145&amp;"|"&amp;N145&amp;"|"&amp;O145&amp;"|"&amp;P145&amp;"|"&amp;Q145&amp;"|"&amp;R145&amp;"|"&amp;S145&amp;"|"&amp;T145&amp;"|"&amp;U145&amp;"|"&amp;V145&amp;"|"&amp;W145&amp;"|"&amp;X145</f>
        <v/>
      </c>
      <c r="AC145" s="21">
        <f>IF(COUNTIF($AB$2:AB145,AB145)&gt;1,1,0)</f>
        <v/>
      </c>
      <c r="AD145" s="23">
        <f>STDEV(F145:X145)</f>
        <v/>
      </c>
      <c r="AE145" s="21">
        <f>IF(OR(AA145&gt;=8,AC145=1,AD145=0),0,1)</f>
        <v/>
      </c>
      <c r="AF145" s="21">
        <f>IF(AE145=1,"",IF(AC145=1,"Trùng",IF(AA145&gt;=8,"Bỏ trống "&amp;AA145&amp;" ô","Chọn cùng một mức")))</f>
        <v/>
      </c>
      <c r="AG145" s="23">
        <f>IF($AE145=1,AVERAGE(F145:I145),"")</f>
        <v/>
      </c>
      <c r="AH145" s="23">
        <f>IF($AE145=1,AVERAGE(J145:M145),"")</f>
        <v/>
      </c>
      <c r="AI145" s="23">
        <f>IF($AE145=1,AVERAGE(N145:Q145),"")</f>
        <v/>
      </c>
      <c r="AJ145" s="23">
        <f>IF($AE145=1,AVERAGE(R145:U145),"")</f>
        <v/>
      </c>
      <c r="AK145" s="23">
        <f>IF($AE145=1,AVERAGE(V145:X145),"")</f>
        <v/>
      </c>
    </row>
    <row r="146">
      <c r="A146" s="20" t="n">
        <v>45731.78958333333</v>
      </c>
      <c r="B146" s="21" t="n">
        <v>2</v>
      </c>
      <c r="C146" s="21" t="n">
        <v>2</v>
      </c>
      <c r="D146" s="21" t="n">
        <v>3</v>
      </c>
      <c r="E146" s="21" t="n">
        <v>2</v>
      </c>
      <c r="F146" s="21" t="n">
        <v>4</v>
      </c>
      <c r="G146" s="21" t="n">
        <v>4</v>
      </c>
      <c r="H146" s="21" t="n">
        <v>4</v>
      </c>
      <c r="I146" s="21" t="n">
        <v>4</v>
      </c>
      <c r="J146" s="21" t="n">
        <v>4</v>
      </c>
      <c r="K146" s="21" t="n">
        <v>4</v>
      </c>
      <c r="L146" s="21" t="n">
        <v>4</v>
      </c>
      <c r="M146" s="21" t="n">
        <v>4</v>
      </c>
      <c r="N146" s="21" t="n">
        <v>2</v>
      </c>
      <c r="O146" s="21" t="n">
        <v>2</v>
      </c>
      <c r="P146" s="21" t="n">
        <v>2</v>
      </c>
      <c r="Q146" s="21" t="n">
        <v>3</v>
      </c>
      <c r="R146" s="21" t="n">
        <v>3</v>
      </c>
      <c r="S146" s="21" t="n">
        <v>4</v>
      </c>
      <c r="T146" s="21" t="n">
        <v>5</v>
      </c>
      <c r="U146" s="21" t="n">
        <v>5</v>
      </c>
      <c r="V146" s="21" t="n">
        <v>3</v>
      </c>
      <c r="W146" s="21" t="n">
        <v>4</v>
      </c>
      <c r="X146" s="21" t="n">
        <v>4</v>
      </c>
      <c r="Y146" s="22">
        <f>INT(A146)</f>
        <v/>
      </c>
      <c r="Z146" s="21">
        <f>IF(Y146&lt;DATE(2025,3,6),1,IF(Y146&lt;DATE(2025,3,13),2,3))</f>
        <v/>
      </c>
      <c r="AA146" s="21">
        <f>COUNTBLANK(B146:X146)</f>
        <v/>
      </c>
      <c r="AB146" s="21">
        <f>B146&amp;"|"&amp;C146&amp;"|"&amp;D146&amp;"|"&amp;E146&amp;"|"&amp;F146&amp;"|"&amp;G146&amp;"|"&amp;H146&amp;"|"&amp;I146&amp;"|"&amp;J146&amp;"|"&amp;K146&amp;"|"&amp;L146&amp;"|"&amp;M146&amp;"|"&amp;N146&amp;"|"&amp;O146&amp;"|"&amp;P146&amp;"|"&amp;Q146&amp;"|"&amp;R146&amp;"|"&amp;S146&amp;"|"&amp;T146&amp;"|"&amp;U146&amp;"|"&amp;V146&amp;"|"&amp;W146&amp;"|"&amp;X146</f>
        <v/>
      </c>
      <c r="AC146" s="21">
        <f>IF(COUNTIF($AB$2:AB146,AB146)&gt;1,1,0)</f>
        <v/>
      </c>
      <c r="AD146" s="23">
        <f>STDEV(F146:X146)</f>
        <v/>
      </c>
      <c r="AE146" s="21">
        <f>IF(OR(AA146&gt;=8,AC146=1,AD146=0),0,1)</f>
        <v/>
      </c>
      <c r="AF146" s="21">
        <f>IF(AE146=1,"",IF(AC146=1,"Trùng",IF(AA146&gt;=8,"Bỏ trống "&amp;AA146&amp;" ô","Chọn cùng một mức")))</f>
        <v/>
      </c>
      <c r="AG146" s="23">
        <f>IF($AE146=1,AVERAGE(F146:I146),"")</f>
        <v/>
      </c>
      <c r="AH146" s="23">
        <f>IF($AE146=1,AVERAGE(J146:M146),"")</f>
        <v/>
      </c>
      <c r="AI146" s="23">
        <f>IF($AE146=1,AVERAGE(N146:Q146),"")</f>
        <v/>
      </c>
      <c r="AJ146" s="23">
        <f>IF($AE146=1,AVERAGE(R146:U146),"")</f>
        <v/>
      </c>
      <c r="AK146" s="23">
        <f>IF($AE146=1,AVERAGE(V146:X146),"")</f>
        <v/>
      </c>
    </row>
    <row r="147">
      <c r="A147" s="20" t="n">
        <v>45731.79513888889</v>
      </c>
      <c r="B147" s="21" t="n">
        <v>2</v>
      </c>
      <c r="C147" s="21" t="n">
        <v>1</v>
      </c>
      <c r="D147" s="21" t="n">
        <v>1</v>
      </c>
      <c r="E147" s="21" t="n">
        <v>1</v>
      </c>
      <c r="F147" s="21" t="n"/>
      <c r="G147" s="21" t="n"/>
      <c r="H147" s="21" t="n">
        <v>3</v>
      </c>
      <c r="I147" s="21" t="n">
        <v>1</v>
      </c>
      <c r="J147" s="21" t="n">
        <v>5</v>
      </c>
      <c r="K147" s="21" t="n"/>
      <c r="L147" s="21" t="n">
        <v>1</v>
      </c>
      <c r="M147" s="21" t="n">
        <v>3</v>
      </c>
      <c r="N147" s="21" t="n"/>
      <c r="O147" s="21" t="n">
        <v>5</v>
      </c>
      <c r="P147" s="21" t="n"/>
      <c r="Q147" s="21" t="n"/>
      <c r="R147" s="21" t="n"/>
      <c r="S147" s="21" t="n"/>
      <c r="T147" s="21" t="n">
        <v>2</v>
      </c>
      <c r="U147" s="21" t="n">
        <v>1</v>
      </c>
      <c r="V147" s="21" t="n"/>
      <c r="W147" s="21" t="n"/>
      <c r="X147" s="21" t="n"/>
      <c r="Y147" s="22">
        <f>INT(A147)</f>
        <v/>
      </c>
      <c r="Z147" s="21">
        <f>IF(Y147&lt;DATE(2025,3,6),1,IF(Y147&lt;DATE(2025,3,13),2,3))</f>
        <v/>
      </c>
      <c r="AA147" s="21">
        <f>COUNTBLANK(B147:X147)</f>
        <v/>
      </c>
      <c r="AB147" s="21">
        <f>B147&amp;"|"&amp;C147&amp;"|"&amp;D147&amp;"|"&amp;E147&amp;"|"&amp;F147&amp;"|"&amp;G147&amp;"|"&amp;H147&amp;"|"&amp;I147&amp;"|"&amp;J147&amp;"|"&amp;K147&amp;"|"&amp;L147&amp;"|"&amp;M147&amp;"|"&amp;N147&amp;"|"&amp;O147&amp;"|"&amp;P147&amp;"|"&amp;Q147&amp;"|"&amp;R147&amp;"|"&amp;S147&amp;"|"&amp;T147&amp;"|"&amp;U147&amp;"|"&amp;V147&amp;"|"&amp;W147&amp;"|"&amp;X147</f>
        <v/>
      </c>
      <c r="AC147" s="21">
        <f>IF(COUNTIF($AB$2:AB147,AB147)&gt;1,1,0)</f>
        <v/>
      </c>
      <c r="AD147" s="23">
        <f>STDEV(F147:X147)</f>
        <v/>
      </c>
      <c r="AE147" s="21">
        <f>IF(OR(AA147&gt;=8,AC147=1,AD147=0),0,1)</f>
        <v/>
      </c>
      <c r="AF147" s="21">
        <f>IF(AE147=1,"",IF(AC147=1,"Trùng",IF(AA147&gt;=8,"Bỏ trống "&amp;AA147&amp;" ô","Chọn cùng một mức")))</f>
        <v/>
      </c>
      <c r="AG147" s="23">
        <f>IF($AE147=1,AVERAGE(F147:I147),"")</f>
        <v/>
      </c>
      <c r="AH147" s="23">
        <f>IF($AE147=1,AVERAGE(J147:M147),"")</f>
        <v/>
      </c>
      <c r="AI147" s="23">
        <f>IF($AE147=1,AVERAGE(N147:Q147),"")</f>
        <v/>
      </c>
      <c r="AJ147" s="23">
        <f>IF($AE147=1,AVERAGE(R147:U147),"")</f>
        <v/>
      </c>
      <c r="AK147" s="23">
        <f>IF($AE147=1,AVERAGE(V147:X147),"")</f>
        <v/>
      </c>
    </row>
    <row r="148">
      <c r="A148" s="20" t="n">
        <v>45731.85694444444</v>
      </c>
      <c r="B148" s="21" t="n">
        <v>1</v>
      </c>
      <c r="C148" s="21" t="n">
        <v>1</v>
      </c>
      <c r="D148" s="21" t="n">
        <v>1</v>
      </c>
      <c r="E148" s="21" t="n">
        <v>3</v>
      </c>
      <c r="F148" s="21" t="n">
        <v>3</v>
      </c>
      <c r="G148" s="21" t="n">
        <v>4</v>
      </c>
      <c r="H148" s="21" t="n">
        <v>2</v>
      </c>
      <c r="I148" s="21" t="n">
        <v>3</v>
      </c>
      <c r="J148" s="21" t="n">
        <v>4</v>
      </c>
      <c r="K148" s="21" t="n">
        <v>5</v>
      </c>
      <c r="L148" s="21" t="n">
        <v>4</v>
      </c>
      <c r="M148" s="21" t="n">
        <v>4</v>
      </c>
      <c r="N148" s="21" t="n">
        <v>4</v>
      </c>
      <c r="O148" s="21" t="n">
        <v>4</v>
      </c>
      <c r="P148" s="21" t="n">
        <v>4</v>
      </c>
      <c r="Q148" s="21" t="n">
        <v>3</v>
      </c>
      <c r="R148" s="21" t="n">
        <v>3</v>
      </c>
      <c r="S148" s="21" t="n">
        <v>4</v>
      </c>
      <c r="T148" s="21" t="n">
        <v>3</v>
      </c>
      <c r="U148" s="21" t="n">
        <v>3</v>
      </c>
      <c r="V148" s="21" t="n">
        <v>4</v>
      </c>
      <c r="W148" s="21" t="n">
        <v>5</v>
      </c>
      <c r="X148" s="21" t="n">
        <v>4</v>
      </c>
      <c r="Y148" s="22">
        <f>INT(A148)</f>
        <v/>
      </c>
      <c r="Z148" s="21">
        <f>IF(Y148&lt;DATE(2025,3,6),1,IF(Y148&lt;DATE(2025,3,13),2,3))</f>
        <v/>
      </c>
      <c r="AA148" s="21">
        <f>COUNTBLANK(B148:X148)</f>
        <v/>
      </c>
      <c r="AB148" s="21">
        <f>B148&amp;"|"&amp;C148&amp;"|"&amp;D148&amp;"|"&amp;E148&amp;"|"&amp;F148&amp;"|"&amp;G148&amp;"|"&amp;H148&amp;"|"&amp;I148&amp;"|"&amp;J148&amp;"|"&amp;K148&amp;"|"&amp;L148&amp;"|"&amp;M148&amp;"|"&amp;N148&amp;"|"&amp;O148&amp;"|"&amp;P148&amp;"|"&amp;Q148&amp;"|"&amp;R148&amp;"|"&amp;S148&amp;"|"&amp;T148&amp;"|"&amp;U148&amp;"|"&amp;V148&amp;"|"&amp;W148&amp;"|"&amp;X148</f>
        <v/>
      </c>
      <c r="AC148" s="21">
        <f>IF(COUNTIF($AB$2:AB148,AB148)&gt;1,1,0)</f>
        <v/>
      </c>
      <c r="AD148" s="23">
        <f>STDEV(F148:X148)</f>
        <v/>
      </c>
      <c r="AE148" s="21">
        <f>IF(OR(AA148&gt;=8,AC148=1,AD148=0),0,1)</f>
        <v/>
      </c>
      <c r="AF148" s="21">
        <f>IF(AE148=1,"",IF(AC148=1,"Trùng",IF(AA148&gt;=8,"Bỏ trống "&amp;AA148&amp;" ô","Chọn cùng một mức")))</f>
        <v/>
      </c>
      <c r="AG148" s="23">
        <f>IF($AE148=1,AVERAGE(F148:I148),"")</f>
        <v/>
      </c>
      <c r="AH148" s="23">
        <f>IF($AE148=1,AVERAGE(J148:M148),"")</f>
        <v/>
      </c>
      <c r="AI148" s="23">
        <f>IF($AE148=1,AVERAGE(N148:Q148),"")</f>
        <v/>
      </c>
      <c r="AJ148" s="23">
        <f>IF($AE148=1,AVERAGE(R148:U148),"")</f>
        <v/>
      </c>
      <c r="AK148" s="23">
        <f>IF($AE148=1,AVERAGE(V148:X148),"")</f>
        <v/>
      </c>
    </row>
    <row r="149">
      <c r="A149" s="20" t="n">
        <v>45731.91875</v>
      </c>
      <c r="B149" s="21" t="n">
        <v>1</v>
      </c>
      <c r="C149" s="21" t="n">
        <v>1</v>
      </c>
      <c r="D149" s="21" t="n">
        <v>2</v>
      </c>
      <c r="E149" s="21" t="n">
        <v>3</v>
      </c>
      <c r="F149" s="21" t="n">
        <v>3</v>
      </c>
      <c r="G149" s="21" t="n">
        <v>4</v>
      </c>
      <c r="H149" s="21" t="n">
        <v>3</v>
      </c>
      <c r="I149" s="21" t="n">
        <v>3</v>
      </c>
      <c r="J149" s="21" t="n">
        <v>5</v>
      </c>
      <c r="K149" s="21" t="n">
        <v>5</v>
      </c>
      <c r="L149" s="21" t="n">
        <v>5</v>
      </c>
      <c r="M149" s="21" t="n">
        <v>4</v>
      </c>
      <c r="N149" s="21" t="n">
        <v>4</v>
      </c>
      <c r="O149" s="21" t="n">
        <v>5</v>
      </c>
      <c r="P149" s="21" t="n">
        <v>5</v>
      </c>
      <c r="Q149" s="21" t="n">
        <v>5</v>
      </c>
      <c r="R149" s="21" t="n">
        <v>4</v>
      </c>
      <c r="S149" s="21" t="n">
        <v>3</v>
      </c>
      <c r="T149" s="21" t="n">
        <v>4</v>
      </c>
      <c r="U149" s="21" t="n">
        <v>4</v>
      </c>
      <c r="V149" s="21" t="n">
        <v>5</v>
      </c>
      <c r="W149" s="21" t="n">
        <v>2</v>
      </c>
      <c r="X149" s="21" t="n">
        <v>4</v>
      </c>
      <c r="Y149" s="22">
        <f>INT(A149)</f>
        <v/>
      </c>
      <c r="Z149" s="21">
        <f>IF(Y149&lt;DATE(2025,3,6),1,IF(Y149&lt;DATE(2025,3,13),2,3))</f>
        <v/>
      </c>
      <c r="AA149" s="21">
        <f>COUNTBLANK(B149:X149)</f>
        <v/>
      </c>
      <c r="AB149" s="21">
        <f>B149&amp;"|"&amp;C149&amp;"|"&amp;D149&amp;"|"&amp;E149&amp;"|"&amp;F149&amp;"|"&amp;G149&amp;"|"&amp;H149&amp;"|"&amp;I149&amp;"|"&amp;J149&amp;"|"&amp;K149&amp;"|"&amp;L149&amp;"|"&amp;M149&amp;"|"&amp;N149&amp;"|"&amp;O149&amp;"|"&amp;P149&amp;"|"&amp;Q149&amp;"|"&amp;R149&amp;"|"&amp;S149&amp;"|"&amp;T149&amp;"|"&amp;U149&amp;"|"&amp;V149&amp;"|"&amp;W149&amp;"|"&amp;X149</f>
        <v/>
      </c>
      <c r="AC149" s="21">
        <f>IF(COUNTIF($AB$2:AB149,AB149)&gt;1,1,0)</f>
        <v/>
      </c>
      <c r="AD149" s="23">
        <f>STDEV(F149:X149)</f>
        <v/>
      </c>
      <c r="AE149" s="21">
        <f>IF(OR(AA149&gt;=8,AC149=1,AD149=0),0,1)</f>
        <v/>
      </c>
      <c r="AF149" s="21">
        <f>IF(AE149=1,"",IF(AC149=1,"Trùng",IF(AA149&gt;=8,"Bỏ trống "&amp;AA149&amp;" ô","Chọn cùng một mức")))</f>
        <v/>
      </c>
      <c r="AG149" s="23">
        <f>IF($AE149=1,AVERAGE(F149:I149),"")</f>
        <v/>
      </c>
      <c r="AH149" s="23">
        <f>IF($AE149=1,AVERAGE(J149:M149),"")</f>
        <v/>
      </c>
      <c r="AI149" s="23">
        <f>IF($AE149=1,AVERAGE(N149:Q149),"")</f>
        <v/>
      </c>
      <c r="AJ149" s="23">
        <f>IF($AE149=1,AVERAGE(R149:U149),"")</f>
        <v/>
      </c>
      <c r="AK149" s="23">
        <f>IF($AE149=1,AVERAGE(V149:X149),"")</f>
        <v/>
      </c>
    </row>
    <row r="150">
      <c r="A150" s="20" t="n">
        <v>45731.97152777778</v>
      </c>
      <c r="B150" s="21" t="n">
        <v>1</v>
      </c>
      <c r="C150" s="21" t="n">
        <v>2</v>
      </c>
      <c r="D150" s="21" t="n">
        <v>2</v>
      </c>
      <c r="E150" s="21" t="n">
        <v>3</v>
      </c>
      <c r="F150" s="21" t="n">
        <v>5</v>
      </c>
      <c r="G150" s="21" t="n">
        <v>5</v>
      </c>
      <c r="H150" s="21" t="n">
        <v>5</v>
      </c>
      <c r="I150" s="21" t="n">
        <v>5</v>
      </c>
      <c r="J150" s="21" t="n">
        <v>5</v>
      </c>
      <c r="K150" s="21" t="n">
        <v>5</v>
      </c>
      <c r="L150" s="21" t="n">
        <v>5</v>
      </c>
      <c r="M150" s="21" t="n">
        <v>5</v>
      </c>
      <c r="N150" s="21" t="n">
        <v>4</v>
      </c>
      <c r="O150" s="21" t="n">
        <v>4</v>
      </c>
      <c r="P150" s="21" t="n">
        <v>4</v>
      </c>
      <c r="Q150" s="21" t="n">
        <v>4</v>
      </c>
      <c r="R150" s="21" t="n">
        <v>3</v>
      </c>
      <c r="S150" s="21" t="n">
        <v>4</v>
      </c>
      <c r="T150" s="21" t="n">
        <v>4</v>
      </c>
      <c r="U150" s="21" t="n">
        <v>4</v>
      </c>
      <c r="V150" s="21" t="n">
        <v>4</v>
      </c>
      <c r="W150" s="21" t="n">
        <v>5</v>
      </c>
      <c r="X150" s="21" t="n">
        <v>4</v>
      </c>
      <c r="Y150" s="22">
        <f>INT(A150)</f>
        <v/>
      </c>
      <c r="Z150" s="21">
        <f>IF(Y150&lt;DATE(2025,3,6),1,IF(Y150&lt;DATE(2025,3,13),2,3))</f>
        <v/>
      </c>
      <c r="AA150" s="21">
        <f>COUNTBLANK(B150:X150)</f>
        <v/>
      </c>
      <c r="AB150" s="21">
        <f>B150&amp;"|"&amp;C150&amp;"|"&amp;D150&amp;"|"&amp;E150&amp;"|"&amp;F150&amp;"|"&amp;G150&amp;"|"&amp;H150&amp;"|"&amp;I150&amp;"|"&amp;J150&amp;"|"&amp;K150&amp;"|"&amp;L150&amp;"|"&amp;M150&amp;"|"&amp;N150&amp;"|"&amp;O150&amp;"|"&amp;P150&amp;"|"&amp;Q150&amp;"|"&amp;R150&amp;"|"&amp;S150&amp;"|"&amp;T150&amp;"|"&amp;U150&amp;"|"&amp;V150&amp;"|"&amp;W150&amp;"|"&amp;X150</f>
        <v/>
      </c>
      <c r="AC150" s="21">
        <f>IF(COUNTIF($AB$2:AB150,AB150)&gt;1,1,0)</f>
        <v/>
      </c>
      <c r="AD150" s="23">
        <f>STDEV(F150:X150)</f>
        <v/>
      </c>
      <c r="AE150" s="21">
        <f>IF(OR(AA150&gt;=8,AC150=1,AD150=0),0,1)</f>
        <v/>
      </c>
      <c r="AF150" s="21">
        <f>IF(AE150=1,"",IF(AC150=1,"Trùng",IF(AA150&gt;=8,"Bỏ trống "&amp;AA150&amp;" ô","Chọn cùng một mức")))</f>
        <v/>
      </c>
      <c r="AG150" s="23">
        <f>IF($AE150=1,AVERAGE(F150:I150),"")</f>
        <v/>
      </c>
      <c r="AH150" s="23">
        <f>IF($AE150=1,AVERAGE(J150:M150),"")</f>
        <v/>
      </c>
      <c r="AI150" s="23">
        <f>IF($AE150=1,AVERAGE(N150:Q150),"")</f>
        <v/>
      </c>
      <c r="AJ150" s="23">
        <f>IF($AE150=1,AVERAGE(R150:U150),"")</f>
        <v/>
      </c>
      <c r="AK150" s="23">
        <f>IF($AE150=1,AVERAGE(V150:X150),"")</f>
        <v/>
      </c>
    </row>
    <row r="151">
      <c r="A151" s="20" t="n">
        <v>45731.97291666667</v>
      </c>
      <c r="B151" s="21" t="n">
        <v>1</v>
      </c>
      <c r="C151" s="21" t="n">
        <v>1</v>
      </c>
      <c r="D151" s="21" t="n">
        <v>2</v>
      </c>
      <c r="E151" s="21" t="n">
        <v>2</v>
      </c>
      <c r="F151" s="21" t="n">
        <v>4</v>
      </c>
      <c r="G151" s="21" t="n">
        <v>3</v>
      </c>
      <c r="H151" s="21" t="n">
        <v>4</v>
      </c>
      <c r="I151" s="21" t="n">
        <v>4</v>
      </c>
      <c r="J151" s="21" t="n">
        <v>4</v>
      </c>
      <c r="K151" s="21" t="n">
        <v>2</v>
      </c>
      <c r="L151" s="21" t="n">
        <v>3</v>
      </c>
      <c r="M151" s="21" t="n">
        <v>4</v>
      </c>
      <c r="N151" s="21" t="n">
        <v>3</v>
      </c>
      <c r="O151" s="21" t="n">
        <v>4</v>
      </c>
      <c r="P151" s="21" t="n">
        <v>4</v>
      </c>
      <c r="Q151" s="21" t="n">
        <v>4</v>
      </c>
      <c r="R151" s="21" t="n">
        <v>3</v>
      </c>
      <c r="S151" s="21" t="n">
        <v>4</v>
      </c>
      <c r="T151" s="21" t="n">
        <v>3</v>
      </c>
      <c r="U151" s="21" t="n">
        <v>4</v>
      </c>
      <c r="V151" s="21" t="n">
        <v>2</v>
      </c>
      <c r="W151" s="21" t="n">
        <v>5</v>
      </c>
      <c r="X151" s="21" t="n">
        <v>2</v>
      </c>
      <c r="Y151" s="22">
        <f>INT(A151)</f>
        <v/>
      </c>
      <c r="Z151" s="21">
        <f>IF(Y151&lt;DATE(2025,3,6),1,IF(Y151&lt;DATE(2025,3,13),2,3))</f>
        <v/>
      </c>
      <c r="AA151" s="21">
        <f>COUNTBLANK(B151:X151)</f>
        <v/>
      </c>
      <c r="AB151" s="21">
        <f>B151&amp;"|"&amp;C151&amp;"|"&amp;D151&amp;"|"&amp;E151&amp;"|"&amp;F151&amp;"|"&amp;G151&amp;"|"&amp;H151&amp;"|"&amp;I151&amp;"|"&amp;J151&amp;"|"&amp;K151&amp;"|"&amp;L151&amp;"|"&amp;M151&amp;"|"&amp;N151&amp;"|"&amp;O151&amp;"|"&amp;P151&amp;"|"&amp;Q151&amp;"|"&amp;R151&amp;"|"&amp;S151&amp;"|"&amp;T151&amp;"|"&amp;U151&amp;"|"&amp;V151&amp;"|"&amp;W151&amp;"|"&amp;X151</f>
        <v/>
      </c>
      <c r="AC151" s="21">
        <f>IF(COUNTIF($AB$2:AB151,AB151)&gt;1,1,0)</f>
        <v/>
      </c>
      <c r="AD151" s="23">
        <f>STDEV(F151:X151)</f>
        <v/>
      </c>
      <c r="AE151" s="21">
        <f>IF(OR(AA151&gt;=8,AC151=1,AD151=0),0,1)</f>
        <v/>
      </c>
      <c r="AF151" s="21">
        <f>IF(AE151=1,"",IF(AC151=1,"Trùng",IF(AA151&gt;=8,"Bỏ trống "&amp;AA151&amp;" ô","Chọn cùng một mức")))</f>
        <v/>
      </c>
      <c r="AG151" s="23">
        <f>IF($AE151=1,AVERAGE(F151:I151),"")</f>
        <v/>
      </c>
      <c r="AH151" s="23">
        <f>IF($AE151=1,AVERAGE(J151:M151),"")</f>
        <v/>
      </c>
      <c r="AI151" s="23">
        <f>IF($AE151=1,AVERAGE(N151:Q151),"")</f>
        <v/>
      </c>
      <c r="AJ151" s="23">
        <f>IF($AE151=1,AVERAGE(R151:U151),"")</f>
        <v/>
      </c>
      <c r="AK151" s="23">
        <f>IF($AE151=1,AVERAGE(V151:X151),"")</f>
        <v/>
      </c>
    </row>
    <row r="152">
      <c r="A152" s="20" t="n">
        <v>45732.03958333333</v>
      </c>
      <c r="B152" s="21" t="n">
        <v>2</v>
      </c>
      <c r="C152" s="21" t="n">
        <v>1</v>
      </c>
      <c r="D152" s="21" t="n">
        <v>2</v>
      </c>
      <c r="E152" s="21" t="n">
        <v>3</v>
      </c>
      <c r="F152" s="21" t="n">
        <v>3</v>
      </c>
      <c r="G152" s="21" t="n">
        <v>3</v>
      </c>
      <c r="H152" s="21" t="n">
        <v>4</v>
      </c>
      <c r="I152" s="21" t="n">
        <v>3</v>
      </c>
      <c r="J152" s="21" t="n">
        <v>2</v>
      </c>
      <c r="K152" s="21" t="n">
        <v>4</v>
      </c>
      <c r="L152" s="21" t="n">
        <v>3</v>
      </c>
      <c r="M152" s="21" t="n">
        <v>3</v>
      </c>
      <c r="N152" s="21" t="n">
        <v>2</v>
      </c>
      <c r="O152" s="21" t="n">
        <v>2</v>
      </c>
      <c r="P152" s="21" t="n">
        <v>2</v>
      </c>
      <c r="Q152" s="21" t="n">
        <v>2</v>
      </c>
      <c r="R152" s="21" t="n">
        <v>2</v>
      </c>
      <c r="S152" s="21" t="n">
        <v>3</v>
      </c>
      <c r="T152" s="21" t="n">
        <v>3</v>
      </c>
      <c r="U152" s="21" t="n">
        <v>3</v>
      </c>
      <c r="V152" s="21" t="n">
        <v>2</v>
      </c>
      <c r="W152" s="21" t="n">
        <v>3</v>
      </c>
      <c r="X152" s="21" t="n">
        <v>4</v>
      </c>
      <c r="Y152" s="22">
        <f>INT(A152)</f>
        <v/>
      </c>
      <c r="Z152" s="21">
        <f>IF(Y152&lt;DATE(2025,3,6),1,IF(Y152&lt;DATE(2025,3,13),2,3))</f>
        <v/>
      </c>
      <c r="AA152" s="21">
        <f>COUNTBLANK(B152:X152)</f>
        <v/>
      </c>
      <c r="AB152" s="21">
        <f>B152&amp;"|"&amp;C152&amp;"|"&amp;D152&amp;"|"&amp;E152&amp;"|"&amp;F152&amp;"|"&amp;G152&amp;"|"&amp;H152&amp;"|"&amp;I152&amp;"|"&amp;J152&amp;"|"&amp;K152&amp;"|"&amp;L152&amp;"|"&amp;M152&amp;"|"&amp;N152&amp;"|"&amp;O152&amp;"|"&amp;P152&amp;"|"&amp;Q152&amp;"|"&amp;R152&amp;"|"&amp;S152&amp;"|"&amp;T152&amp;"|"&amp;U152&amp;"|"&amp;V152&amp;"|"&amp;W152&amp;"|"&amp;X152</f>
        <v/>
      </c>
      <c r="AC152" s="21">
        <f>IF(COUNTIF($AB$2:AB152,AB152)&gt;1,1,0)</f>
        <v/>
      </c>
      <c r="AD152" s="23">
        <f>STDEV(F152:X152)</f>
        <v/>
      </c>
      <c r="AE152" s="21">
        <f>IF(OR(AA152&gt;=8,AC152=1,AD152=0),0,1)</f>
        <v/>
      </c>
      <c r="AF152" s="21">
        <f>IF(AE152=1,"",IF(AC152=1,"Trùng",IF(AA152&gt;=8,"Bỏ trống "&amp;AA152&amp;" ô","Chọn cùng một mức")))</f>
        <v/>
      </c>
      <c r="AG152" s="23">
        <f>IF($AE152=1,AVERAGE(F152:I152),"")</f>
        <v/>
      </c>
      <c r="AH152" s="23">
        <f>IF($AE152=1,AVERAGE(J152:M152),"")</f>
        <v/>
      </c>
      <c r="AI152" s="23">
        <f>IF($AE152=1,AVERAGE(N152:Q152),"")</f>
        <v/>
      </c>
      <c r="AJ152" s="23">
        <f>IF($AE152=1,AVERAGE(R152:U152),"")</f>
        <v/>
      </c>
      <c r="AK152" s="23">
        <f>IF($AE152=1,AVERAGE(V152:X152),"")</f>
        <v/>
      </c>
    </row>
    <row r="153">
      <c r="A153" s="20" t="n">
        <v>45732.05277777778</v>
      </c>
      <c r="B153" s="21" t="n">
        <v>2</v>
      </c>
      <c r="C153" s="21" t="n">
        <v>1</v>
      </c>
      <c r="D153" s="21" t="n">
        <v>2</v>
      </c>
      <c r="E153" s="21" t="n">
        <v>3</v>
      </c>
      <c r="F153" s="21" t="n">
        <v>4</v>
      </c>
      <c r="G153" s="21" t="n">
        <v>4</v>
      </c>
      <c r="H153" s="21" t="n">
        <v>4</v>
      </c>
      <c r="I153" s="21" t="n">
        <v>4</v>
      </c>
      <c r="J153" s="21" t="n">
        <v>5</v>
      </c>
      <c r="K153" s="21" t="n">
        <v>4</v>
      </c>
      <c r="L153" s="21" t="n">
        <v>5</v>
      </c>
      <c r="M153" s="21" t="n">
        <v>5</v>
      </c>
      <c r="N153" s="21" t="n">
        <v>3</v>
      </c>
      <c r="O153" s="21" t="n">
        <v>4</v>
      </c>
      <c r="P153" s="21" t="n">
        <v>3</v>
      </c>
      <c r="Q153" s="21" t="n">
        <v>3</v>
      </c>
      <c r="R153" s="21" t="n">
        <v>3</v>
      </c>
      <c r="S153" s="21" t="n">
        <v>2</v>
      </c>
      <c r="T153" s="21" t="n">
        <v>4</v>
      </c>
      <c r="U153" s="21" t="n">
        <v>4</v>
      </c>
      <c r="V153" s="21" t="n">
        <v>5</v>
      </c>
      <c r="W153" s="21" t="n">
        <v>4</v>
      </c>
      <c r="X153" s="21" t="n">
        <v>4</v>
      </c>
      <c r="Y153" s="22">
        <f>INT(A153)</f>
        <v/>
      </c>
      <c r="Z153" s="21">
        <f>IF(Y153&lt;DATE(2025,3,6),1,IF(Y153&lt;DATE(2025,3,13),2,3))</f>
        <v/>
      </c>
      <c r="AA153" s="21">
        <f>COUNTBLANK(B153:X153)</f>
        <v/>
      </c>
      <c r="AB153" s="21">
        <f>B153&amp;"|"&amp;C153&amp;"|"&amp;D153&amp;"|"&amp;E153&amp;"|"&amp;F153&amp;"|"&amp;G153&amp;"|"&amp;H153&amp;"|"&amp;I153&amp;"|"&amp;J153&amp;"|"&amp;K153&amp;"|"&amp;L153&amp;"|"&amp;M153&amp;"|"&amp;N153&amp;"|"&amp;O153&amp;"|"&amp;P153&amp;"|"&amp;Q153&amp;"|"&amp;R153&amp;"|"&amp;S153&amp;"|"&amp;T153&amp;"|"&amp;U153&amp;"|"&amp;V153&amp;"|"&amp;W153&amp;"|"&amp;X153</f>
        <v/>
      </c>
      <c r="AC153" s="21">
        <f>IF(COUNTIF($AB$2:AB153,AB153)&gt;1,1,0)</f>
        <v/>
      </c>
      <c r="AD153" s="23">
        <f>STDEV(F153:X153)</f>
        <v/>
      </c>
      <c r="AE153" s="21">
        <f>IF(OR(AA153&gt;=8,AC153=1,AD153=0),0,1)</f>
        <v/>
      </c>
      <c r="AF153" s="21">
        <f>IF(AE153=1,"",IF(AC153=1,"Trùng",IF(AA153&gt;=8,"Bỏ trống "&amp;AA153&amp;" ô","Chọn cùng một mức")))</f>
        <v/>
      </c>
      <c r="AG153" s="23">
        <f>IF($AE153=1,AVERAGE(F153:I153),"")</f>
        <v/>
      </c>
      <c r="AH153" s="23">
        <f>IF($AE153=1,AVERAGE(J153:M153),"")</f>
        <v/>
      </c>
      <c r="AI153" s="23">
        <f>IF($AE153=1,AVERAGE(N153:Q153),"")</f>
        <v/>
      </c>
      <c r="AJ153" s="23">
        <f>IF($AE153=1,AVERAGE(R153:U153),"")</f>
        <v/>
      </c>
      <c r="AK153" s="23">
        <f>IF($AE153=1,AVERAGE(V153:X153),"")</f>
        <v/>
      </c>
    </row>
    <row r="154">
      <c r="A154" s="20" t="n">
        <v>45732.09236111111</v>
      </c>
      <c r="B154" s="21" t="n">
        <v>1</v>
      </c>
      <c r="C154" s="21" t="n">
        <v>2</v>
      </c>
      <c r="D154" s="21" t="n">
        <v>2</v>
      </c>
      <c r="E154" s="21" t="n">
        <v>3</v>
      </c>
      <c r="F154" s="21" t="n">
        <v>5</v>
      </c>
      <c r="G154" s="21" t="n">
        <v>4</v>
      </c>
      <c r="H154" s="21" t="n">
        <v>5</v>
      </c>
      <c r="I154" s="21" t="n">
        <v>4</v>
      </c>
      <c r="J154" s="21" t="n">
        <v>5</v>
      </c>
      <c r="K154" s="21" t="n">
        <v>3</v>
      </c>
      <c r="L154" s="21" t="n">
        <v>4</v>
      </c>
      <c r="M154" s="21" t="n">
        <v>4</v>
      </c>
      <c r="N154" s="21" t="n">
        <v>4</v>
      </c>
      <c r="O154" s="21" t="n">
        <v>4</v>
      </c>
      <c r="P154" s="21" t="n">
        <v>4</v>
      </c>
      <c r="Q154" s="21" t="n">
        <v>3</v>
      </c>
      <c r="R154" s="21" t="n">
        <v>4</v>
      </c>
      <c r="S154" s="21" t="n">
        <v>3</v>
      </c>
      <c r="T154" s="21" t="n">
        <v>3</v>
      </c>
      <c r="U154" s="21" t="n">
        <v>3</v>
      </c>
      <c r="V154" s="21" t="n">
        <v>4</v>
      </c>
      <c r="W154" s="21" t="n">
        <v>4</v>
      </c>
      <c r="X154" s="21" t="n">
        <v>5</v>
      </c>
      <c r="Y154" s="22">
        <f>INT(A154)</f>
        <v/>
      </c>
      <c r="Z154" s="21">
        <f>IF(Y154&lt;DATE(2025,3,6),1,IF(Y154&lt;DATE(2025,3,13),2,3))</f>
        <v/>
      </c>
      <c r="AA154" s="21">
        <f>COUNTBLANK(B154:X154)</f>
        <v/>
      </c>
      <c r="AB154" s="21">
        <f>B154&amp;"|"&amp;C154&amp;"|"&amp;D154&amp;"|"&amp;E154&amp;"|"&amp;F154&amp;"|"&amp;G154&amp;"|"&amp;H154&amp;"|"&amp;I154&amp;"|"&amp;J154&amp;"|"&amp;K154&amp;"|"&amp;L154&amp;"|"&amp;M154&amp;"|"&amp;N154&amp;"|"&amp;O154&amp;"|"&amp;P154&amp;"|"&amp;Q154&amp;"|"&amp;R154&amp;"|"&amp;S154&amp;"|"&amp;T154&amp;"|"&amp;U154&amp;"|"&amp;V154&amp;"|"&amp;W154&amp;"|"&amp;X154</f>
        <v/>
      </c>
      <c r="AC154" s="21">
        <f>IF(COUNTIF($AB$2:AB154,AB154)&gt;1,1,0)</f>
        <v/>
      </c>
      <c r="AD154" s="23">
        <f>STDEV(F154:X154)</f>
        <v/>
      </c>
      <c r="AE154" s="21">
        <f>IF(OR(AA154&gt;=8,AC154=1,AD154=0),0,1)</f>
        <v/>
      </c>
      <c r="AF154" s="21">
        <f>IF(AE154=1,"",IF(AC154=1,"Trùng",IF(AA154&gt;=8,"Bỏ trống "&amp;AA154&amp;" ô","Chọn cùng một mức")))</f>
        <v/>
      </c>
      <c r="AG154" s="23">
        <f>IF($AE154=1,AVERAGE(F154:I154),"")</f>
        <v/>
      </c>
      <c r="AH154" s="23">
        <f>IF($AE154=1,AVERAGE(J154:M154),"")</f>
        <v/>
      </c>
      <c r="AI154" s="23">
        <f>IF($AE154=1,AVERAGE(N154:Q154),"")</f>
        <v/>
      </c>
      <c r="AJ154" s="23">
        <f>IF($AE154=1,AVERAGE(R154:U154),"")</f>
        <v/>
      </c>
      <c r="AK154" s="23">
        <f>IF($AE154=1,AVERAGE(V154:X154),"")</f>
        <v/>
      </c>
    </row>
    <row r="155">
      <c r="A155" s="20" t="n">
        <v>45732.15069444444</v>
      </c>
      <c r="B155" s="21" t="n">
        <v>1</v>
      </c>
      <c r="C155" s="21" t="n">
        <v>4</v>
      </c>
      <c r="D155" s="21" t="n">
        <v>1</v>
      </c>
      <c r="E155" s="21" t="n">
        <v>1</v>
      </c>
      <c r="F155" s="21" t="n">
        <v>3</v>
      </c>
      <c r="G155" s="21" t="n">
        <v>5</v>
      </c>
      <c r="H155" s="21" t="n">
        <v>4</v>
      </c>
      <c r="I155" s="21" t="n">
        <v>4</v>
      </c>
      <c r="J155" s="21" t="n">
        <v>4</v>
      </c>
      <c r="K155" s="21" t="n">
        <v>5</v>
      </c>
      <c r="L155" s="21" t="n">
        <v>5</v>
      </c>
      <c r="M155" s="21" t="n">
        <v>5</v>
      </c>
      <c r="N155" s="21" t="n">
        <v>4</v>
      </c>
      <c r="O155" s="21" t="n">
        <v>5</v>
      </c>
      <c r="P155" s="21" t="n">
        <v>4</v>
      </c>
      <c r="Q155" s="21" t="n">
        <v>4</v>
      </c>
      <c r="R155" s="21" t="n">
        <v>2</v>
      </c>
      <c r="S155" s="21" t="n">
        <v>3</v>
      </c>
      <c r="T155" s="21" t="n">
        <v>3</v>
      </c>
      <c r="U155" s="21" t="n">
        <v>2</v>
      </c>
      <c r="V155" s="21" t="n">
        <v>4</v>
      </c>
      <c r="W155" s="21" t="n">
        <v>4</v>
      </c>
      <c r="X155" s="21" t="n">
        <v>4</v>
      </c>
      <c r="Y155" s="22">
        <f>INT(A155)</f>
        <v/>
      </c>
      <c r="Z155" s="21">
        <f>IF(Y155&lt;DATE(2025,3,6),1,IF(Y155&lt;DATE(2025,3,13),2,3))</f>
        <v/>
      </c>
      <c r="AA155" s="21">
        <f>COUNTBLANK(B155:X155)</f>
        <v/>
      </c>
      <c r="AB155" s="21">
        <f>B155&amp;"|"&amp;C155&amp;"|"&amp;D155&amp;"|"&amp;E155&amp;"|"&amp;F155&amp;"|"&amp;G155&amp;"|"&amp;H155&amp;"|"&amp;I155&amp;"|"&amp;J155&amp;"|"&amp;K155&amp;"|"&amp;L155&amp;"|"&amp;M155&amp;"|"&amp;N155&amp;"|"&amp;O155&amp;"|"&amp;P155&amp;"|"&amp;Q155&amp;"|"&amp;R155&amp;"|"&amp;S155&amp;"|"&amp;T155&amp;"|"&amp;U155&amp;"|"&amp;V155&amp;"|"&amp;W155&amp;"|"&amp;X155</f>
        <v/>
      </c>
      <c r="AC155" s="21">
        <f>IF(COUNTIF($AB$2:AB155,AB155)&gt;1,1,0)</f>
        <v/>
      </c>
      <c r="AD155" s="23">
        <f>STDEV(F155:X155)</f>
        <v/>
      </c>
      <c r="AE155" s="21">
        <f>IF(OR(AA155&gt;=8,AC155=1,AD155=0),0,1)</f>
        <v/>
      </c>
      <c r="AF155" s="21">
        <f>IF(AE155=1,"",IF(AC155=1,"Trùng",IF(AA155&gt;=8,"Bỏ trống "&amp;AA155&amp;" ô","Chọn cùng một mức")))</f>
        <v/>
      </c>
      <c r="AG155" s="23">
        <f>IF($AE155=1,AVERAGE(F155:I155),"")</f>
        <v/>
      </c>
      <c r="AH155" s="23">
        <f>IF($AE155=1,AVERAGE(J155:M155),"")</f>
        <v/>
      </c>
      <c r="AI155" s="23">
        <f>IF($AE155=1,AVERAGE(N155:Q155),"")</f>
        <v/>
      </c>
      <c r="AJ155" s="23">
        <f>IF($AE155=1,AVERAGE(R155:U155),"")</f>
        <v/>
      </c>
      <c r="AK155" s="23">
        <f>IF($AE155=1,AVERAGE(V155:X155),"")</f>
        <v/>
      </c>
    </row>
    <row r="156">
      <c r="A156" s="20" t="n">
        <v>45732.20902777778</v>
      </c>
      <c r="B156" s="21" t="n">
        <v>1</v>
      </c>
      <c r="C156" s="21" t="n">
        <v>3</v>
      </c>
      <c r="D156" s="21" t="n">
        <v>2</v>
      </c>
      <c r="E156" s="21" t="n">
        <v>2</v>
      </c>
      <c r="F156" s="21" t="n">
        <v>5</v>
      </c>
      <c r="G156" s="21" t="n">
        <v>4</v>
      </c>
      <c r="H156" s="21" t="n">
        <v>4</v>
      </c>
      <c r="I156" s="21" t="n">
        <v>4</v>
      </c>
      <c r="J156" s="21" t="n">
        <v>3</v>
      </c>
      <c r="K156" s="21" t="n">
        <v>2</v>
      </c>
      <c r="L156" s="21" t="n">
        <v>4</v>
      </c>
      <c r="M156" s="21" t="n">
        <v>3</v>
      </c>
      <c r="N156" s="21" t="n">
        <v>4</v>
      </c>
      <c r="O156" s="21" t="n">
        <v>3</v>
      </c>
      <c r="P156" s="21" t="n">
        <v>4</v>
      </c>
      <c r="Q156" s="21" t="n">
        <v>3</v>
      </c>
      <c r="R156" s="21" t="n">
        <v>3</v>
      </c>
      <c r="S156" s="21" t="n">
        <v>3</v>
      </c>
      <c r="T156" s="21" t="n">
        <v>1</v>
      </c>
      <c r="U156" s="21" t="n">
        <v>3</v>
      </c>
      <c r="V156" s="21" t="n">
        <v>4</v>
      </c>
      <c r="W156" s="21" t="n">
        <v>4</v>
      </c>
      <c r="X156" s="21" t="n">
        <v>5</v>
      </c>
      <c r="Y156" s="22">
        <f>INT(A156)</f>
        <v/>
      </c>
      <c r="Z156" s="21">
        <f>IF(Y156&lt;DATE(2025,3,6),1,IF(Y156&lt;DATE(2025,3,13),2,3))</f>
        <v/>
      </c>
      <c r="AA156" s="21">
        <f>COUNTBLANK(B156:X156)</f>
        <v/>
      </c>
      <c r="AB156" s="21">
        <f>B156&amp;"|"&amp;C156&amp;"|"&amp;D156&amp;"|"&amp;E156&amp;"|"&amp;F156&amp;"|"&amp;G156&amp;"|"&amp;H156&amp;"|"&amp;I156&amp;"|"&amp;J156&amp;"|"&amp;K156&amp;"|"&amp;L156&amp;"|"&amp;M156&amp;"|"&amp;N156&amp;"|"&amp;O156&amp;"|"&amp;P156&amp;"|"&amp;Q156&amp;"|"&amp;R156&amp;"|"&amp;S156&amp;"|"&amp;T156&amp;"|"&amp;U156&amp;"|"&amp;V156&amp;"|"&amp;W156&amp;"|"&amp;X156</f>
        <v/>
      </c>
      <c r="AC156" s="21">
        <f>IF(COUNTIF($AB$2:AB156,AB156)&gt;1,1,0)</f>
        <v/>
      </c>
      <c r="AD156" s="23">
        <f>STDEV(F156:X156)</f>
        <v/>
      </c>
      <c r="AE156" s="21">
        <f>IF(OR(AA156&gt;=8,AC156=1,AD156=0),0,1)</f>
        <v/>
      </c>
      <c r="AF156" s="21">
        <f>IF(AE156=1,"",IF(AC156=1,"Trùng",IF(AA156&gt;=8,"Bỏ trống "&amp;AA156&amp;" ô","Chọn cùng một mức")))</f>
        <v/>
      </c>
      <c r="AG156" s="23">
        <f>IF($AE156=1,AVERAGE(F156:I156),"")</f>
        <v/>
      </c>
      <c r="AH156" s="23">
        <f>IF($AE156=1,AVERAGE(J156:M156),"")</f>
        <v/>
      </c>
      <c r="AI156" s="23">
        <f>IF($AE156=1,AVERAGE(N156:Q156),"")</f>
        <v/>
      </c>
      <c r="AJ156" s="23">
        <f>IF($AE156=1,AVERAGE(R156:U156),"")</f>
        <v/>
      </c>
      <c r="AK156" s="23">
        <f>IF($AE156=1,AVERAGE(V156:X156),"")</f>
        <v/>
      </c>
    </row>
    <row r="157">
      <c r="A157" s="20" t="n">
        <v>45732.27013888889</v>
      </c>
      <c r="B157" s="21" t="n">
        <v>1</v>
      </c>
      <c r="C157" s="21" t="n">
        <v>2</v>
      </c>
      <c r="D157" s="21" t="n">
        <v>1</v>
      </c>
      <c r="E157" s="21" t="n">
        <v>2</v>
      </c>
      <c r="F157" s="21" t="n">
        <v>3</v>
      </c>
      <c r="G157" s="21" t="n">
        <v>4</v>
      </c>
      <c r="H157" s="21" t="n">
        <v>3</v>
      </c>
      <c r="I157" s="21" t="n">
        <v>4</v>
      </c>
      <c r="J157" s="21" t="n">
        <v>4</v>
      </c>
      <c r="K157" s="21" t="n">
        <v>4</v>
      </c>
      <c r="L157" s="21" t="n">
        <v>4</v>
      </c>
      <c r="M157" s="21" t="n">
        <v>5</v>
      </c>
      <c r="N157" s="21" t="n">
        <v>4</v>
      </c>
      <c r="O157" s="21" t="n">
        <v>3</v>
      </c>
      <c r="P157" s="21" t="n">
        <v>5</v>
      </c>
      <c r="Q157" s="21" t="n">
        <v>2</v>
      </c>
      <c r="R157" s="21" t="n">
        <v>3</v>
      </c>
      <c r="S157" s="21" t="n">
        <v>3</v>
      </c>
      <c r="T157" s="21" t="n">
        <v>2</v>
      </c>
      <c r="U157" s="21" t="n">
        <v>2</v>
      </c>
      <c r="V157" s="21" t="n">
        <v>3</v>
      </c>
      <c r="W157" s="21" t="n">
        <v>3</v>
      </c>
      <c r="X157" s="21" t="n">
        <v>2</v>
      </c>
      <c r="Y157" s="22">
        <f>INT(A157)</f>
        <v/>
      </c>
      <c r="Z157" s="21">
        <f>IF(Y157&lt;DATE(2025,3,6),1,IF(Y157&lt;DATE(2025,3,13),2,3))</f>
        <v/>
      </c>
      <c r="AA157" s="21">
        <f>COUNTBLANK(B157:X157)</f>
        <v/>
      </c>
      <c r="AB157" s="21">
        <f>B157&amp;"|"&amp;C157&amp;"|"&amp;D157&amp;"|"&amp;E157&amp;"|"&amp;F157&amp;"|"&amp;G157&amp;"|"&amp;H157&amp;"|"&amp;I157&amp;"|"&amp;J157&amp;"|"&amp;K157&amp;"|"&amp;L157&amp;"|"&amp;M157&amp;"|"&amp;N157&amp;"|"&amp;O157&amp;"|"&amp;P157&amp;"|"&amp;Q157&amp;"|"&amp;R157&amp;"|"&amp;S157&amp;"|"&amp;T157&amp;"|"&amp;U157&amp;"|"&amp;V157&amp;"|"&amp;W157&amp;"|"&amp;X157</f>
        <v/>
      </c>
      <c r="AC157" s="21">
        <f>IF(COUNTIF($AB$2:AB157,AB157)&gt;1,1,0)</f>
        <v/>
      </c>
      <c r="AD157" s="23">
        <f>STDEV(F157:X157)</f>
        <v/>
      </c>
      <c r="AE157" s="21">
        <f>IF(OR(AA157&gt;=8,AC157=1,AD157=0),0,1)</f>
        <v/>
      </c>
      <c r="AF157" s="21">
        <f>IF(AE157=1,"",IF(AC157=1,"Trùng",IF(AA157&gt;=8,"Bỏ trống "&amp;AA157&amp;" ô","Chọn cùng một mức")))</f>
        <v/>
      </c>
      <c r="AG157" s="23">
        <f>IF($AE157=1,AVERAGE(F157:I157),"")</f>
        <v/>
      </c>
      <c r="AH157" s="23">
        <f>IF($AE157=1,AVERAGE(J157:M157),"")</f>
        <v/>
      </c>
      <c r="AI157" s="23">
        <f>IF($AE157=1,AVERAGE(N157:Q157),"")</f>
        <v/>
      </c>
      <c r="AJ157" s="23">
        <f>IF($AE157=1,AVERAGE(R157:U157),"")</f>
        <v/>
      </c>
      <c r="AK157" s="23">
        <f>IF($AE157=1,AVERAGE(V157:X157),"")</f>
        <v/>
      </c>
    </row>
    <row r="158">
      <c r="A158" s="20" t="n">
        <v>45732.28194444445</v>
      </c>
      <c r="B158" s="21" t="n">
        <v>1</v>
      </c>
      <c r="C158" s="21" t="n">
        <v>3</v>
      </c>
      <c r="D158" s="21" t="n">
        <v>3</v>
      </c>
      <c r="E158" s="21" t="n">
        <v>2</v>
      </c>
      <c r="F158" s="21" t="n">
        <v>4</v>
      </c>
      <c r="G158" s="21" t="n">
        <v>5</v>
      </c>
      <c r="H158" s="21" t="n">
        <v>4</v>
      </c>
      <c r="I158" s="21" t="n">
        <v>5</v>
      </c>
      <c r="J158" s="21" t="n">
        <v>4</v>
      </c>
      <c r="K158" s="21" t="n">
        <v>4</v>
      </c>
      <c r="L158" s="21" t="n">
        <v>3</v>
      </c>
      <c r="M158" s="21" t="n">
        <v>3</v>
      </c>
      <c r="N158" s="21" t="n">
        <v>2</v>
      </c>
      <c r="O158" s="21" t="n">
        <v>3</v>
      </c>
      <c r="P158" s="21" t="n">
        <v>2</v>
      </c>
      <c r="Q158" s="21" t="n">
        <v>3</v>
      </c>
      <c r="R158" s="21" t="n">
        <v>4</v>
      </c>
      <c r="S158" s="21" t="n">
        <v>3</v>
      </c>
      <c r="T158" s="21" t="n">
        <v>3</v>
      </c>
      <c r="U158" s="21" t="n">
        <v>3</v>
      </c>
      <c r="V158" s="21" t="n">
        <v>4</v>
      </c>
      <c r="W158" s="21" t="n">
        <v>5</v>
      </c>
      <c r="X158" s="21" t="n">
        <v>3</v>
      </c>
      <c r="Y158" s="22">
        <f>INT(A158)</f>
        <v/>
      </c>
      <c r="Z158" s="21">
        <f>IF(Y158&lt;DATE(2025,3,6),1,IF(Y158&lt;DATE(2025,3,13),2,3))</f>
        <v/>
      </c>
      <c r="AA158" s="21">
        <f>COUNTBLANK(B158:X158)</f>
        <v/>
      </c>
      <c r="AB158" s="21">
        <f>B158&amp;"|"&amp;C158&amp;"|"&amp;D158&amp;"|"&amp;E158&amp;"|"&amp;F158&amp;"|"&amp;G158&amp;"|"&amp;H158&amp;"|"&amp;I158&amp;"|"&amp;J158&amp;"|"&amp;K158&amp;"|"&amp;L158&amp;"|"&amp;M158&amp;"|"&amp;N158&amp;"|"&amp;O158&amp;"|"&amp;P158&amp;"|"&amp;Q158&amp;"|"&amp;R158&amp;"|"&amp;S158&amp;"|"&amp;T158&amp;"|"&amp;U158&amp;"|"&amp;V158&amp;"|"&amp;W158&amp;"|"&amp;X158</f>
        <v/>
      </c>
      <c r="AC158" s="21">
        <f>IF(COUNTIF($AB$2:AB158,AB158)&gt;1,1,0)</f>
        <v/>
      </c>
      <c r="AD158" s="23">
        <f>STDEV(F158:X158)</f>
        <v/>
      </c>
      <c r="AE158" s="21">
        <f>IF(OR(AA158&gt;=8,AC158=1,AD158=0),0,1)</f>
        <v/>
      </c>
      <c r="AF158" s="21">
        <f>IF(AE158=1,"",IF(AC158=1,"Trùng",IF(AA158&gt;=8,"Bỏ trống "&amp;AA158&amp;" ô","Chọn cùng một mức")))</f>
        <v/>
      </c>
      <c r="AG158" s="23">
        <f>IF($AE158=1,AVERAGE(F158:I158),"")</f>
        <v/>
      </c>
      <c r="AH158" s="23">
        <f>IF($AE158=1,AVERAGE(J158:M158),"")</f>
        <v/>
      </c>
      <c r="AI158" s="23">
        <f>IF($AE158=1,AVERAGE(N158:Q158),"")</f>
        <v/>
      </c>
      <c r="AJ158" s="23">
        <f>IF($AE158=1,AVERAGE(R158:U158),"")</f>
        <v/>
      </c>
      <c r="AK158" s="23">
        <f>IF($AE158=1,AVERAGE(V158:X158),"")</f>
        <v/>
      </c>
    </row>
    <row r="159">
      <c r="A159" s="20" t="n">
        <v>45732.41875</v>
      </c>
      <c r="B159" s="21" t="n">
        <v>1</v>
      </c>
      <c r="C159" s="21" t="n">
        <v>2</v>
      </c>
      <c r="D159" s="21" t="n">
        <v>3</v>
      </c>
      <c r="E159" s="21" t="n">
        <v>3</v>
      </c>
      <c r="F159" s="21" t="n">
        <v>3</v>
      </c>
      <c r="G159" s="21" t="n">
        <v>5</v>
      </c>
      <c r="H159" s="21" t="n">
        <v>4</v>
      </c>
      <c r="I159" s="21" t="n">
        <v>4</v>
      </c>
      <c r="J159" s="21" t="n">
        <v>4</v>
      </c>
      <c r="K159" s="21" t="n">
        <v>4</v>
      </c>
      <c r="L159" s="21" t="n">
        <v>4</v>
      </c>
      <c r="M159" s="21" t="n">
        <v>5</v>
      </c>
      <c r="N159" s="21" t="n">
        <v>5</v>
      </c>
      <c r="O159" s="21" t="n">
        <v>3</v>
      </c>
      <c r="P159" s="21" t="n">
        <v>4</v>
      </c>
      <c r="Q159" s="21" t="n">
        <v>4</v>
      </c>
      <c r="R159" s="21" t="n">
        <v>4</v>
      </c>
      <c r="S159" s="21" t="n">
        <v>5</v>
      </c>
      <c r="T159" s="21" t="n">
        <v>5</v>
      </c>
      <c r="U159" s="21" t="n">
        <v>4</v>
      </c>
      <c r="V159" s="21" t="n">
        <v>4</v>
      </c>
      <c r="W159" s="21" t="n">
        <v>4</v>
      </c>
      <c r="X159" s="21" t="n">
        <v>3</v>
      </c>
      <c r="Y159" s="22">
        <f>INT(A159)</f>
        <v/>
      </c>
      <c r="Z159" s="21">
        <f>IF(Y159&lt;DATE(2025,3,6),1,IF(Y159&lt;DATE(2025,3,13),2,3))</f>
        <v/>
      </c>
      <c r="AA159" s="21">
        <f>COUNTBLANK(B159:X159)</f>
        <v/>
      </c>
      <c r="AB159" s="21">
        <f>B159&amp;"|"&amp;C159&amp;"|"&amp;D159&amp;"|"&amp;E159&amp;"|"&amp;F159&amp;"|"&amp;G159&amp;"|"&amp;H159&amp;"|"&amp;I159&amp;"|"&amp;J159&amp;"|"&amp;K159&amp;"|"&amp;L159&amp;"|"&amp;M159&amp;"|"&amp;N159&amp;"|"&amp;O159&amp;"|"&amp;P159&amp;"|"&amp;Q159&amp;"|"&amp;R159&amp;"|"&amp;S159&amp;"|"&amp;T159&amp;"|"&amp;U159&amp;"|"&amp;V159&amp;"|"&amp;W159&amp;"|"&amp;X159</f>
        <v/>
      </c>
      <c r="AC159" s="21">
        <f>IF(COUNTIF($AB$2:AB159,AB159)&gt;1,1,0)</f>
        <v/>
      </c>
      <c r="AD159" s="23">
        <f>STDEV(F159:X159)</f>
        <v/>
      </c>
      <c r="AE159" s="21">
        <f>IF(OR(AA159&gt;=8,AC159=1,AD159=0),0,1)</f>
        <v/>
      </c>
      <c r="AF159" s="21">
        <f>IF(AE159=1,"",IF(AC159=1,"Trùng",IF(AA159&gt;=8,"Bỏ trống "&amp;AA159&amp;" ô","Chọn cùng một mức")))</f>
        <v/>
      </c>
      <c r="AG159" s="23">
        <f>IF($AE159=1,AVERAGE(F159:I159),"")</f>
        <v/>
      </c>
      <c r="AH159" s="23">
        <f>IF($AE159=1,AVERAGE(J159:M159),"")</f>
        <v/>
      </c>
      <c r="AI159" s="23">
        <f>IF($AE159=1,AVERAGE(N159:Q159),"")</f>
        <v/>
      </c>
      <c r="AJ159" s="23">
        <f>IF($AE159=1,AVERAGE(R159:U159),"")</f>
        <v/>
      </c>
      <c r="AK159" s="23">
        <f>IF($AE159=1,AVERAGE(V159:X159),"")</f>
        <v/>
      </c>
    </row>
    <row r="160">
      <c r="A160" s="20" t="n">
        <v>45732.52916666667</v>
      </c>
      <c r="B160" s="21" t="n">
        <v>2</v>
      </c>
      <c r="C160" s="21" t="n">
        <v>3</v>
      </c>
      <c r="D160" s="21" t="n">
        <v>1</v>
      </c>
      <c r="E160" s="21" t="n">
        <v>3</v>
      </c>
      <c r="F160" s="21" t="n">
        <v>4</v>
      </c>
      <c r="G160" s="21" t="n">
        <v>4</v>
      </c>
      <c r="H160" s="21" t="n">
        <v>4</v>
      </c>
      <c r="I160" s="21" t="n">
        <v>4</v>
      </c>
      <c r="J160" s="21" t="n">
        <v>3</v>
      </c>
      <c r="K160" s="21" t="n">
        <v>2</v>
      </c>
      <c r="L160" s="21" t="n">
        <v>3</v>
      </c>
      <c r="M160" s="21" t="n">
        <v>3</v>
      </c>
      <c r="N160" s="21" t="n">
        <v>4</v>
      </c>
      <c r="O160" s="21" t="n">
        <v>3</v>
      </c>
      <c r="P160" s="21" t="n">
        <v>4</v>
      </c>
      <c r="Q160" s="21" t="n">
        <v>4</v>
      </c>
      <c r="R160" s="21" t="n">
        <v>3</v>
      </c>
      <c r="S160" s="21" t="n">
        <v>3</v>
      </c>
      <c r="T160" s="21" t="n">
        <v>3</v>
      </c>
      <c r="U160" s="21" t="n">
        <v>4</v>
      </c>
      <c r="V160" s="21" t="n">
        <v>5</v>
      </c>
      <c r="W160" s="21" t="n">
        <v>4</v>
      </c>
      <c r="X160" s="21" t="n">
        <v>5</v>
      </c>
      <c r="Y160" s="22">
        <f>INT(A160)</f>
        <v/>
      </c>
      <c r="Z160" s="21">
        <f>IF(Y160&lt;DATE(2025,3,6),1,IF(Y160&lt;DATE(2025,3,13),2,3))</f>
        <v/>
      </c>
      <c r="AA160" s="21">
        <f>COUNTBLANK(B160:X160)</f>
        <v/>
      </c>
      <c r="AB160" s="21">
        <f>B160&amp;"|"&amp;C160&amp;"|"&amp;D160&amp;"|"&amp;E160&amp;"|"&amp;F160&amp;"|"&amp;G160&amp;"|"&amp;H160&amp;"|"&amp;I160&amp;"|"&amp;J160&amp;"|"&amp;K160&amp;"|"&amp;L160&amp;"|"&amp;M160&amp;"|"&amp;N160&amp;"|"&amp;O160&amp;"|"&amp;P160&amp;"|"&amp;Q160&amp;"|"&amp;R160&amp;"|"&amp;S160&amp;"|"&amp;T160&amp;"|"&amp;U160&amp;"|"&amp;V160&amp;"|"&amp;W160&amp;"|"&amp;X160</f>
        <v/>
      </c>
      <c r="AC160" s="21">
        <f>IF(COUNTIF($AB$2:AB160,AB160)&gt;1,1,0)</f>
        <v/>
      </c>
      <c r="AD160" s="23">
        <f>STDEV(F160:X160)</f>
        <v/>
      </c>
      <c r="AE160" s="21">
        <f>IF(OR(AA160&gt;=8,AC160=1,AD160=0),0,1)</f>
        <v/>
      </c>
      <c r="AF160" s="21">
        <f>IF(AE160=1,"",IF(AC160=1,"Trùng",IF(AA160&gt;=8,"Bỏ trống "&amp;AA160&amp;" ô","Chọn cùng một mức")))</f>
        <v/>
      </c>
      <c r="AG160" s="23">
        <f>IF($AE160=1,AVERAGE(F160:I160),"")</f>
        <v/>
      </c>
      <c r="AH160" s="23">
        <f>IF($AE160=1,AVERAGE(J160:M160),"")</f>
        <v/>
      </c>
      <c r="AI160" s="23">
        <f>IF($AE160=1,AVERAGE(N160:Q160),"")</f>
        <v/>
      </c>
      <c r="AJ160" s="23">
        <f>IF($AE160=1,AVERAGE(R160:U160),"")</f>
        <v/>
      </c>
      <c r="AK160" s="23">
        <f>IF($AE160=1,AVERAGE(V160:X160),"")</f>
        <v/>
      </c>
    </row>
    <row r="161">
      <c r="A161" s="20" t="n">
        <v>45732.74375</v>
      </c>
      <c r="B161" s="21" t="n">
        <v>2</v>
      </c>
      <c r="C161" s="21" t="n">
        <v>3</v>
      </c>
      <c r="D161" s="21" t="n">
        <v>3</v>
      </c>
      <c r="E161" s="21" t="n">
        <v>1</v>
      </c>
      <c r="F161" s="21" t="n">
        <v>4</v>
      </c>
      <c r="G161" s="21" t="n">
        <v>4</v>
      </c>
      <c r="H161" s="21" t="n">
        <v>3</v>
      </c>
      <c r="I161" s="21" t="n">
        <v>4</v>
      </c>
      <c r="J161" s="21" t="n">
        <v>4</v>
      </c>
      <c r="K161" s="21" t="n">
        <v>4</v>
      </c>
      <c r="L161" s="21" t="n">
        <v>3</v>
      </c>
      <c r="M161" s="21" t="n">
        <v>4</v>
      </c>
      <c r="N161" s="21" t="n">
        <v>2</v>
      </c>
      <c r="O161" s="21" t="n">
        <v>3</v>
      </c>
      <c r="P161" s="21" t="n">
        <v>2</v>
      </c>
      <c r="Q161" s="21" t="n">
        <v>4</v>
      </c>
      <c r="R161" s="21" t="n">
        <v>3</v>
      </c>
      <c r="S161" s="21" t="n">
        <v>4</v>
      </c>
      <c r="T161" s="21" t="n">
        <v>3</v>
      </c>
      <c r="U161" s="21" t="n">
        <v>4</v>
      </c>
      <c r="V161" s="21" t="n">
        <v>4</v>
      </c>
      <c r="W161" s="21" t="n">
        <v>4</v>
      </c>
      <c r="X161" s="21" t="n">
        <v>3</v>
      </c>
      <c r="Y161" s="22">
        <f>INT(A161)</f>
        <v/>
      </c>
      <c r="Z161" s="21">
        <f>IF(Y161&lt;DATE(2025,3,6),1,IF(Y161&lt;DATE(2025,3,13),2,3))</f>
        <v/>
      </c>
      <c r="AA161" s="21">
        <f>COUNTBLANK(B161:X161)</f>
        <v/>
      </c>
      <c r="AB161" s="21">
        <f>B161&amp;"|"&amp;C161&amp;"|"&amp;D161&amp;"|"&amp;E161&amp;"|"&amp;F161&amp;"|"&amp;G161&amp;"|"&amp;H161&amp;"|"&amp;I161&amp;"|"&amp;J161&amp;"|"&amp;K161&amp;"|"&amp;L161&amp;"|"&amp;M161&amp;"|"&amp;N161&amp;"|"&amp;O161&amp;"|"&amp;P161&amp;"|"&amp;Q161&amp;"|"&amp;R161&amp;"|"&amp;S161&amp;"|"&amp;T161&amp;"|"&amp;U161&amp;"|"&amp;V161&amp;"|"&amp;W161&amp;"|"&amp;X161</f>
        <v/>
      </c>
      <c r="AC161" s="21">
        <f>IF(COUNTIF($AB$2:AB161,AB161)&gt;1,1,0)</f>
        <v/>
      </c>
      <c r="AD161" s="23">
        <f>STDEV(F161:X161)</f>
        <v/>
      </c>
      <c r="AE161" s="21">
        <f>IF(OR(AA161&gt;=8,AC161=1,AD161=0),0,1)</f>
        <v/>
      </c>
      <c r="AF161" s="21">
        <f>IF(AE161=1,"",IF(AC161=1,"Trùng",IF(AA161&gt;=8,"Bỏ trống "&amp;AA161&amp;" ô","Chọn cùng một mức")))</f>
        <v/>
      </c>
      <c r="AG161" s="23">
        <f>IF($AE161=1,AVERAGE(F161:I161),"")</f>
        <v/>
      </c>
      <c r="AH161" s="23">
        <f>IF($AE161=1,AVERAGE(J161:M161),"")</f>
        <v/>
      </c>
      <c r="AI161" s="23">
        <f>IF($AE161=1,AVERAGE(N161:Q161),"")</f>
        <v/>
      </c>
      <c r="AJ161" s="23">
        <f>IF($AE161=1,AVERAGE(R161:U161),"")</f>
        <v/>
      </c>
      <c r="AK161" s="23">
        <f>IF($AE161=1,AVERAGE(V161:X161),"")</f>
        <v/>
      </c>
    </row>
    <row r="162">
      <c r="A162" s="20" t="n">
        <v>45732.99791666667</v>
      </c>
      <c r="B162" s="21" t="n">
        <v>5</v>
      </c>
      <c r="C162" s="21" t="n">
        <v>5</v>
      </c>
      <c r="D162" s="21" t="n">
        <v>2</v>
      </c>
      <c r="E162" s="21" t="n">
        <v>5</v>
      </c>
      <c r="F162" s="21" t="n"/>
      <c r="G162" s="21" t="n">
        <v>4</v>
      </c>
      <c r="H162" s="21" t="n">
        <v>5</v>
      </c>
      <c r="I162" s="21" t="n"/>
      <c r="J162" s="21" t="n"/>
      <c r="K162" s="21" t="n"/>
      <c r="L162" s="21" t="n"/>
      <c r="M162" s="21" t="n">
        <v>4</v>
      </c>
      <c r="N162" s="21" t="n"/>
      <c r="O162" s="21" t="n">
        <v>5</v>
      </c>
      <c r="P162" s="21" t="n">
        <v>3</v>
      </c>
      <c r="Q162" s="21" t="n"/>
      <c r="R162" s="21" t="n">
        <v>4</v>
      </c>
      <c r="S162" s="21" t="n"/>
      <c r="T162" s="21" t="n"/>
      <c r="U162" s="21" t="n">
        <v>2</v>
      </c>
      <c r="V162" s="21" t="n">
        <v>4</v>
      </c>
      <c r="W162" s="21" t="n"/>
      <c r="X162" s="21" t="n">
        <v>4</v>
      </c>
      <c r="Y162" s="22">
        <f>INT(A162)</f>
        <v/>
      </c>
      <c r="Z162" s="21">
        <f>IF(Y162&lt;DATE(2025,3,6),1,IF(Y162&lt;DATE(2025,3,13),2,3))</f>
        <v/>
      </c>
      <c r="AA162" s="21">
        <f>COUNTBLANK(B162:X162)</f>
        <v/>
      </c>
      <c r="AB162" s="21">
        <f>B162&amp;"|"&amp;C162&amp;"|"&amp;D162&amp;"|"&amp;E162&amp;"|"&amp;F162&amp;"|"&amp;G162&amp;"|"&amp;H162&amp;"|"&amp;I162&amp;"|"&amp;J162&amp;"|"&amp;K162&amp;"|"&amp;L162&amp;"|"&amp;M162&amp;"|"&amp;N162&amp;"|"&amp;O162&amp;"|"&amp;P162&amp;"|"&amp;Q162&amp;"|"&amp;R162&amp;"|"&amp;S162&amp;"|"&amp;T162&amp;"|"&amp;U162&amp;"|"&amp;V162&amp;"|"&amp;W162&amp;"|"&amp;X162</f>
        <v/>
      </c>
      <c r="AC162" s="21">
        <f>IF(COUNTIF($AB$2:AB162,AB162)&gt;1,1,0)</f>
        <v/>
      </c>
      <c r="AD162" s="23">
        <f>STDEV(F162:X162)</f>
        <v/>
      </c>
      <c r="AE162" s="21">
        <f>IF(OR(AA162&gt;=8,AC162=1,AD162=0),0,1)</f>
        <v/>
      </c>
      <c r="AF162" s="21">
        <f>IF(AE162=1,"",IF(AC162=1,"Trùng",IF(AA162&gt;=8,"Bỏ trống "&amp;AA162&amp;" ô","Chọn cùng một mức")))</f>
        <v/>
      </c>
      <c r="AG162" s="23">
        <f>IF($AE162=1,AVERAGE(F162:I162),"")</f>
        <v/>
      </c>
      <c r="AH162" s="23">
        <f>IF($AE162=1,AVERAGE(J162:M162),"")</f>
        <v/>
      </c>
      <c r="AI162" s="23">
        <f>IF($AE162=1,AVERAGE(N162:Q162),"")</f>
        <v/>
      </c>
      <c r="AJ162" s="23">
        <f>IF($AE162=1,AVERAGE(R162:U162),"")</f>
        <v/>
      </c>
      <c r="AK162" s="23">
        <f>IF($AE162=1,AVERAGE(V162:X162),"")</f>
        <v/>
      </c>
    </row>
    <row r="163">
      <c r="A163" s="20" t="n">
        <v>45733.03055555555</v>
      </c>
      <c r="B163" s="21" t="n">
        <v>1</v>
      </c>
      <c r="C163" s="21" t="n">
        <v>1</v>
      </c>
      <c r="D163" s="21" t="n">
        <v>2</v>
      </c>
      <c r="E163" s="21" t="n">
        <v>2</v>
      </c>
      <c r="F163" s="21" t="n">
        <v>5</v>
      </c>
      <c r="G163" s="21" t="n">
        <v>5</v>
      </c>
      <c r="H163" s="21" t="n">
        <v>4</v>
      </c>
      <c r="I163" s="21" t="n">
        <v>5</v>
      </c>
      <c r="J163" s="21" t="n">
        <v>3</v>
      </c>
      <c r="K163" s="21" t="n">
        <v>5</v>
      </c>
      <c r="L163" s="21" t="n">
        <v>3</v>
      </c>
      <c r="M163" s="21" t="n">
        <v>5</v>
      </c>
      <c r="N163" s="21" t="n">
        <v>4</v>
      </c>
      <c r="O163" s="21" t="n">
        <v>3</v>
      </c>
      <c r="P163" s="21" t="n">
        <v>4</v>
      </c>
      <c r="Q163" s="21" t="n">
        <v>5</v>
      </c>
      <c r="R163" s="21" t="n">
        <v>4</v>
      </c>
      <c r="S163" s="21" t="n">
        <v>5</v>
      </c>
      <c r="T163" s="21" t="n">
        <v>3</v>
      </c>
      <c r="U163" s="21" t="n">
        <v>4</v>
      </c>
      <c r="V163" s="21" t="n">
        <v>4</v>
      </c>
      <c r="W163" s="21" t="n">
        <v>4</v>
      </c>
      <c r="X163" s="21" t="n">
        <v>4</v>
      </c>
      <c r="Y163" s="22">
        <f>INT(A163)</f>
        <v/>
      </c>
      <c r="Z163" s="21">
        <f>IF(Y163&lt;DATE(2025,3,6),1,IF(Y163&lt;DATE(2025,3,13),2,3))</f>
        <v/>
      </c>
      <c r="AA163" s="21">
        <f>COUNTBLANK(B163:X163)</f>
        <v/>
      </c>
      <c r="AB163" s="21">
        <f>B163&amp;"|"&amp;C163&amp;"|"&amp;D163&amp;"|"&amp;E163&amp;"|"&amp;F163&amp;"|"&amp;G163&amp;"|"&amp;H163&amp;"|"&amp;I163&amp;"|"&amp;J163&amp;"|"&amp;K163&amp;"|"&amp;L163&amp;"|"&amp;M163&amp;"|"&amp;N163&amp;"|"&amp;O163&amp;"|"&amp;P163&amp;"|"&amp;Q163&amp;"|"&amp;R163&amp;"|"&amp;S163&amp;"|"&amp;T163&amp;"|"&amp;U163&amp;"|"&amp;V163&amp;"|"&amp;W163&amp;"|"&amp;X163</f>
        <v/>
      </c>
      <c r="AC163" s="21">
        <f>IF(COUNTIF($AB$2:AB163,AB163)&gt;1,1,0)</f>
        <v/>
      </c>
      <c r="AD163" s="23">
        <f>STDEV(F163:X163)</f>
        <v/>
      </c>
      <c r="AE163" s="21">
        <f>IF(OR(AA163&gt;=8,AC163=1,AD163=0),0,1)</f>
        <v/>
      </c>
      <c r="AF163" s="21">
        <f>IF(AE163=1,"",IF(AC163=1,"Trùng",IF(AA163&gt;=8,"Bỏ trống "&amp;AA163&amp;" ô","Chọn cùng một mức")))</f>
        <v/>
      </c>
      <c r="AG163" s="23">
        <f>IF($AE163=1,AVERAGE(F163:I163),"")</f>
        <v/>
      </c>
      <c r="AH163" s="23">
        <f>IF($AE163=1,AVERAGE(J163:M163),"")</f>
        <v/>
      </c>
      <c r="AI163" s="23">
        <f>IF($AE163=1,AVERAGE(N163:Q163),"")</f>
        <v/>
      </c>
      <c r="AJ163" s="23">
        <f>IF($AE163=1,AVERAGE(R163:U163),"")</f>
        <v/>
      </c>
      <c r="AK163" s="23">
        <f>IF($AE163=1,AVERAGE(V163:X163),"")</f>
        <v/>
      </c>
    </row>
    <row r="164">
      <c r="A164" s="20" t="n">
        <v>45733.05625</v>
      </c>
      <c r="B164" s="21" t="n">
        <v>2</v>
      </c>
      <c r="C164" s="21" t="n">
        <v>2</v>
      </c>
      <c r="D164" s="21" t="n">
        <v>2</v>
      </c>
      <c r="E164" s="21" t="n">
        <v>2</v>
      </c>
      <c r="F164" s="21" t="n">
        <v>3</v>
      </c>
      <c r="G164" s="21" t="n">
        <v>3</v>
      </c>
      <c r="H164" s="21" t="n">
        <v>3</v>
      </c>
      <c r="I164" s="21" t="n">
        <v>4</v>
      </c>
      <c r="J164" s="21" t="n">
        <v>3</v>
      </c>
      <c r="K164" s="21" t="n">
        <v>4</v>
      </c>
      <c r="L164" s="21" t="n">
        <v>3</v>
      </c>
      <c r="M164" s="21" t="n">
        <v>4</v>
      </c>
      <c r="N164" s="21" t="n">
        <v>3</v>
      </c>
      <c r="O164" s="21" t="n">
        <v>2</v>
      </c>
      <c r="P164" s="21" t="n">
        <v>2</v>
      </c>
      <c r="Q164" s="21" t="n">
        <v>1</v>
      </c>
      <c r="R164" s="21" t="n">
        <v>4</v>
      </c>
      <c r="S164" s="21" t="n">
        <v>3</v>
      </c>
      <c r="T164" s="21" t="n">
        <v>4</v>
      </c>
      <c r="U164" s="21" t="n">
        <v>3</v>
      </c>
      <c r="V164" s="21" t="n">
        <v>3</v>
      </c>
      <c r="W164" s="21" t="n">
        <v>2</v>
      </c>
      <c r="X164" s="21" t="n">
        <v>3</v>
      </c>
      <c r="Y164" s="22">
        <f>INT(A164)</f>
        <v/>
      </c>
      <c r="Z164" s="21">
        <f>IF(Y164&lt;DATE(2025,3,6),1,IF(Y164&lt;DATE(2025,3,13),2,3))</f>
        <v/>
      </c>
      <c r="AA164" s="21">
        <f>COUNTBLANK(B164:X164)</f>
        <v/>
      </c>
      <c r="AB164" s="21">
        <f>B164&amp;"|"&amp;C164&amp;"|"&amp;D164&amp;"|"&amp;E164&amp;"|"&amp;F164&amp;"|"&amp;G164&amp;"|"&amp;H164&amp;"|"&amp;I164&amp;"|"&amp;J164&amp;"|"&amp;K164&amp;"|"&amp;L164&amp;"|"&amp;M164&amp;"|"&amp;N164&amp;"|"&amp;O164&amp;"|"&amp;P164&amp;"|"&amp;Q164&amp;"|"&amp;R164&amp;"|"&amp;S164&amp;"|"&amp;T164&amp;"|"&amp;U164&amp;"|"&amp;V164&amp;"|"&amp;W164&amp;"|"&amp;X164</f>
        <v/>
      </c>
      <c r="AC164" s="21">
        <f>IF(COUNTIF($AB$2:AB164,AB164)&gt;1,1,0)</f>
        <v/>
      </c>
      <c r="AD164" s="23">
        <f>STDEV(F164:X164)</f>
        <v/>
      </c>
      <c r="AE164" s="21">
        <f>IF(OR(AA164&gt;=8,AC164=1,AD164=0),0,1)</f>
        <v/>
      </c>
      <c r="AF164" s="21">
        <f>IF(AE164=1,"",IF(AC164=1,"Trùng",IF(AA164&gt;=8,"Bỏ trống "&amp;AA164&amp;" ô","Chọn cùng một mức")))</f>
        <v/>
      </c>
      <c r="AG164" s="23">
        <f>IF($AE164=1,AVERAGE(F164:I164),"")</f>
        <v/>
      </c>
      <c r="AH164" s="23">
        <f>IF($AE164=1,AVERAGE(J164:M164),"")</f>
        <v/>
      </c>
      <c r="AI164" s="23">
        <f>IF($AE164=1,AVERAGE(N164:Q164),"")</f>
        <v/>
      </c>
      <c r="AJ164" s="23">
        <f>IF($AE164=1,AVERAGE(R164:U164),"")</f>
        <v/>
      </c>
      <c r="AK164" s="23">
        <f>IF($AE164=1,AVERAGE(V164:X164),"")</f>
        <v/>
      </c>
    </row>
    <row r="165">
      <c r="A165" s="20" t="n">
        <v>45733.19027777778</v>
      </c>
      <c r="B165" s="21" t="n">
        <v>1</v>
      </c>
      <c r="C165" s="21" t="n">
        <v>1</v>
      </c>
      <c r="D165" s="21" t="n">
        <v>3</v>
      </c>
      <c r="E165" s="21" t="n">
        <v>2</v>
      </c>
      <c r="F165" s="21" t="n">
        <v>4</v>
      </c>
      <c r="G165" s="21" t="n">
        <v>4</v>
      </c>
      <c r="H165" s="21" t="n">
        <v>5</v>
      </c>
      <c r="I165" s="21" t="n">
        <v>5</v>
      </c>
      <c r="J165" s="21" t="n">
        <v>5</v>
      </c>
      <c r="K165" s="21" t="n">
        <v>4</v>
      </c>
      <c r="L165" s="21" t="n">
        <v>5</v>
      </c>
      <c r="M165" s="21" t="n">
        <v>4</v>
      </c>
      <c r="N165" s="21" t="n">
        <v>4</v>
      </c>
      <c r="O165" s="21" t="n">
        <v>4</v>
      </c>
      <c r="P165" s="21" t="n">
        <v>5</v>
      </c>
      <c r="Q165" s="21" t="n">
        <v>5</v>
      </c>
      <c r="R165" s="21" t="n">
        <v>5</v>
      </c>
      <c r="S165" s="21" t="n">
        <v>5</v>
      </c>
      <c r="T165" s="21" t="n">
        <v>4</v>
      </c>
      <c r="U165" s="21" t="n">
        <v>5</v>
      </c>
      <c r="V165" s="21" t="n">
        <v>5</v>
      </c>
      <c r="W165" s="21" t="n">
        <v>4</v>
      </c>
      <c r="X165" s="21" t="n">
        <v>5</v>
      </c>
      <c r="Y165" s="22">
        <f>INT(A165)</f>
        <v/>
      </c>
      <c r="Z165" s="21">
        <f>IF(Y165&lt;DATE(2025,3,6),1,IF(Y165&lt;DATE(2025,3,13),2,3))</f>
        <v/>
      </c>
      <c r="AA165" s="21">
        <f>COUNTBLANK(B165:X165)</f>
        <v/>
      </c>
      <c r="AB165" s="21">
        <f>B165&amp;"|"&amp;C165&amp;"|"&amp;D165&amp;"|"&amp;E165&amp;"|"&amp;F165&amp;"|"&amp;G165&amp;"|"&amp;H165&amp;"|"&amp;I165&amp;"|"&amp;J165&amp;"|"&amp;K165&amp;"|"&amp;L165&amp;"|"&amp;M165&amp;"|"&amp;N165&amp;"|"&amp;O165&amp;"|"&amp;P165&amp;"|"&amp;Q165&amp;"|"&amp;R165&amp;"|"&amp;S165&amp;"|"&amp;T165&amp;"|"&amp;U165&amp;"|"&amp;V165&amp;"|"&amp;W165&amp;"|"&amp;X165</f>
        <v/>
      </c>
      <c r="AC165" s="21">
        <f>IF(COUNTIF($AB$2:AB165,AB165)&gt;1,1,0)</f>
        <v/>
      </c>
      <c r="AD165" s="23">
        <f>STDEV(F165:X165)</f>
        <v/>
      </c>
      <c r="AE165" s="21">
        <f>IF(OR(AA165&gt;=8,AC165=1,AD165=0),0,1)</f>
        <v/>
      </c>
      <c r="AF165" s="21">
        <f>IF(AE165=1,"",IF(AC165=1,"Trùng",IF(AA165&gt;=8,"Bỏ trống "&amp;AA165&amp;" ô","Chọn cùng một mức")))</f>
        <v/>
      </c>
      <c r="AG165" s="23">
        <f>IF($AE165=1,AVERAGE(F165:I165),"")</f>
        <v/>
      </c>
      <c r="AH165" s="23">
        <f>IF($AE165=1,AVERAGE(J165:M165),"")</f>
        <v/>
      </c>
      <c r="AI165" s="23">
        <f>IF($AE165=1,AVERAGE(N165:Q165),"")</f>
        <v/>
      </c>
      <c r="AJ165" s="23">
        <f>IF($AE165=1,AVERAGE(R165:U165),"")</f>
        <v/>
      </c>
      <c r="AK165" s="23">
        <f>IF($AE165=1,AVERAGE(V165:X165),"")</f>
        <v/>
      </c>
    </row>
    <row r="166">
      <c r="A166" s="20" t="n">
        <v>45733.31458333333</v>
      </c>
      <c r="B166" s="21" t="n">
        <v>2</v>
      </c>
      <c r="C166" s="21" t="n">
        <v>4</v>
      </c>
      <c r="D166" s="21" t="n">
        <v>1</v>
      </c>
      <c r="E166" s="21" t="n">
        <v>2</v>
      </c>
      <c r="F166" s="21" t="n">
        <v>5</v>
      </c>
      <c r="G166" s="21" t="n">
        <v>5</v>
      </c>
      <c r="H166" s="21" t="n">
        <v>5</v>
      </c>
      <c r="I166" s="21" t="n">
        <v>5</v>
      </c>
      <c r="J166" s="21" t="n">
        <v>4</v>
      </c>
      <c r="K166" s="21" t="n">
        <v>3</v>
      </c>
      <c r="L166" s="21" t="n">
        <v>5</v>
      </c>
      <c r="M166" s="21" t="n">
        <v>5</v>
      </c>
      <c r="N166" s="21" t="n">
        <v>5</v>
      </c>
      <c r="O166" s="21" t="n">
        <v>3</v>
      </c>
      <c r="P166" s="21" t="n">
        <v>4</v>
      </c>
      <c r="Q166" s="21" t="n">
        <v>3</v>
      </c>
      <c r="R166" s="21" t="n">
        <v>4</v>
      </c>
      <c r="S166" s="21" t="n">
        <v>3</v>
      </c>
      <c r="T166" s="21" t="n">
        <v>3</v>
      </c>
      <c r="U166" s="21" t="n">
        <v>4</v>
      </c>
      <c r="V166" s="21" t="n">
        <v>4</v>
      </c>
      <c r="W166" s="21" t="n">
        <v>4</v>
      </c>
      <c r="X166" s="21" t="n">
        <v>4</v>
      </c>
      <c r="Y166" s="22">
        <f>INT(A166)</f>
        <v/>
      </c>
      <c r="Z166" s="21">
        <f>IF(Y166&lt;DATE(2025,3,6),1,IF(Y166&lt;DATE(2025,3,13),2,3))</f>
        <v/>
      </c>
      <c r="AA166" s="21">
        <f>COUNTBLANK(B166:X166)</f>
        <v/>
      </c>
      <c r="AB166" s="21">
        <f>B166&amp;"|"&amp;C166&amp;"|"&amp;D166&amp;"|"&amp;E166&amp;"|"&amp;F166&amp;"|"&amp;G166&amp;"|"&amp;H166&amp;"|"&amp;I166&amp;"|"&amp;J166&amp;"|"&amp;K166&amp;"|"&amp;L166&amp;"|"&amp;M166&amp;"|"&amp;N166&amp;"|"&amp;O166&amp;"|"&amp;P166&amp;"|"&amp;Q166&amp;"|"&amp;R166&amp;"|"&amp;S166&amp;"|"&amp;T166&amp;"|"&amp;U166&amp;"|"&amp;V166&amp;"|"&amp;W166&amp;"|"&amp;X166</f>
        <v/>
      </c>
      <c r="AC166" s="21">
        <f>IF(COUNTIF($AB$2:AB166,AB166)&gt;1,1,0)</f>
        <v/>
      </c>
      <c r="AD166" s="23">
        <f>STDEV(F166:X166)</f>
        <v/>
      </c>
      <c r="AE166" s="21">
        <f>IF(OR(AA166&gt;=8,AC166=1,AD166=0),0,1)</f>
        <v/>
      </c>
      <c r="AF166" s="21">
        <f>IF(AE166=1,"",IF(AC166=1,"Trùng",IF(AA166&gt;=8,"Bỏ trống "&amp;AA166&amp;" ô","Chọn cùng một mức")))</f>
        <v/>
      </c>
      <c r="AG166" s="23">
        <f>IF($AE166=1,AVERAGE(F166:I166),"")</f>
        <v/>
      </c>
      <c r="AH166" s="23">
        <f>IF($AE166=1,AVERAGE(J166:M166),"")</f>
        <v/>
      </c>
      <c r="AI166" s="23">
        <f>IF($AE166=1,AVERAGE(N166:Q166),"")</f>
        <v/>
      </c>
      <c r="AJ166" s="23">
        <f>IF($AE166=1,AVERAGE(R166:U166),"")</f>
        <v/>
      </c>
      <c r="AK166" s="23">
        <f>IF($AE166=1,AVERAGE(V166:X166),"")</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2" customWidth="1" min="1" max="1"/>
    <col width="9" customWidth="1" min="2" max="2"/>
    <col width="8" customWidth="1" min="3" max="3"/>
    <col width="8" customWidth="1" min="4" max="4"/>
    <col width="8" customWidth="1" min="5" max="5"/>
    <col width="9" customWidth="1" min="6" max="6"/>
    <col width="10" customWidth="1" min="7" max="7"/>
    <col width="11" customWidth="1" min="8" max="8"/>
    <col width="12" customWidth="1" min="9" max="9"/>
    <col width="12" customWidth="1" min="10" max="10"/>
    <col width="46" customWidth="1" min="11" max="11"/>
  </cols>
  <sheetData>
    <row r="1">
      <c r="A1" s="3" t="inlineStr">
        <is>
          <t>NHẬT KÝ THU THẬP TỪNG NGÀY (Bảng BS10 của sách)</t>
        </is>
      </c>
    </row>
    <row r="2" ht="40" customHeight="1">
      <c r="A2" s="4" t="inlineStr">
        <is>
          <t>Cột B đến D: số người được mời trong ngày theo kênh (sinh viên tự ghi). Cột F, G: đếm tự động từ sheet 6 bằng COUNTIFS. Google Form không biết phiếu đến từ kênh nào nên nhật ký chỉ đếm tổng số phiếu nhận theo ngày.</t>
        </is>
      </c>
    </row>
    <row r="3">
      <c r="A3" s="5" t="inlineStr">
        <is>
          <t>Ngày</t>
        </is>
      </c>
      <c r="B3" s="5" t="inlineStr">
        <is>
          <t>Email</t>
        </is>
      </c>
      <c r="C3" s="5" t="inlineStr">
        <is>
          <t>Zalo</t>
        </is>
      </c>
      <c r="D3" s="5" t="inlineStr">
        <is>
          <t>Quầy</t>
        </is>
      </c>
      <c r="E3" s="5" t="inlineStr">
        <is>
          <t>Mời trong ngày</t>
        </is>
      </c>
      <c r="F3" s="5" t="inlineStr">
        <is>
          <t>Phiếu nhận</t>
        </is>
      </c>
      <c r="G3" s="5" t="inlineStr">
        <is>
          <t>Phiếu lỗi</t>
        </is>
      </c>
      <c r="H3" s="5" t="inlineStr">
        <is>
          <t>Mời lũy kế</t>
        </is>
      </c>
      <c r="I3" s="5" t="inlineStr">
        <is>
          <t>Nhận lũy kế</t>
        </is>
      </c>
      <c r="J3" s="5" t="inlineStr">
        <is>
          <t>Hợp lệ lũy kế</t>
        </is>
      </c>
      <c r="K3" s="5" t="inlineStr">
        <is>
          <t>Vấn đề và cách xử lý</t>
        </is>
      </c>
    </row>
    <row r="4">
      <c r="A4" s="24" t="n">
        <v>45719</v>
      </c>
      <c r="B4" s="7" t="n">
        <v>50</v>
      </c>
      <c r="C4" s="7" t="n">
        <v>0</v>
      </c>
      <c r="D4" s="7" t="n">
        <v>5</v>
      </c>
      <c r="E4" s="6">
        <f>SUM(B4:D4)</f>
        <v/>
      </c>
      <c r="F4" s="6">
        <f>COUNTIF('6_DuLieuThoGanCo'!$Y$2:$Y$166,A4)</f>
        <v/>
      </c>
      <c r="G4" s="6">
        <f>COUNTIFS('6_DuLieuThoGanCo'!$Y$2:$Y$166,A4,'6_DuLieuThoGanCo'!$AE$2:$AE$166,0)</f>
        <v/>
      </c>
      <c r="H4" s="6">
        <f>SUM($E$4:E4)</f>
        <v/>
      </c>
      <c r="I4" s="6">
        <f>SUM($F$4:F4)</f>
        <v/>
      </c>
      <c r="J4" s="6">
        <f>SUM($F$4:F4)-SUM($G$4:G4)</f>
        <v/>
      </c>
      <c r="K4" s="7" t="inlineStr">
        <is>
          <t>Gửi 50 email; mời tại quầy 8 giờ đến 10 giờ</t>
        </is>
      </c>
    </row>
    <row r="5">
      <c r="A5" s="24" t="n">
        <v>45720</v>
      </c>
      <c r="B5" s="7" t="n">
        <v>0</v>
      </c>
      <c r="C5" s="7" t="n">
        <v>40</v>
      </c>
      <c r="D5" s="7" t="n">
        <v>8</v>
      </c>
      <c r="E5" s="6">
        <f>SUM(B5:D5)</f>
        <v/>
      </c>
      <c r="F5" s="6">
        <f>COUNTIF('6_DuLieuThoGanCo'!$Y$2:$Y$166,A5)</f>
        <v/>
      </c>
      <c r="G5" s="6">
        <f>COUNTIFS('6_DuLieuThoGanCo'!$Y$2:$Y$166,A5,'6_DuLieuThoGanCo'!$AE$2:$AE$166,0)</f>
        <v/>
      </c>
      <c r="H5" s="6">
        <f>SUM($E$4:E5)</f>
        <v/>
      </c>
      <c r="I5" s="6">
        <f>SUM($F$4:F5)</f>
        <v/>
      </c>
      <c r="J5" s="6">
        <f>SUM($F$4:F5)-SUM($G$4:G5)</f>
        <v/>
      </c>
      <c r="K5" s="7" t="inlineStr">
        <is>
          <t>Gửi Zalo cho 40 khách hàng</t>
        </is>
      </c>
    </row>
    <row r="6">
      <c r="A6" s="24" t="n">
        <v>45721</v>
      </c>
      <c r="B6" s="7" t="n">
        <v>0</v>
      </c>
      <c r="C6" s="7" t="n">
        <v>30</v>
      </c>
      <c r="D6" s="7" t="n">
        <v>0</v>
      </c>
      <c r="E6" s="6">
        <f>SUM(B6:D6)</f>
        <v/>
      </c>
      <c r="F6" s="6">
        <f>COUNTIF('6_DuLieuThoGanCo'!$Y$2:$Y$166,A6)</f>
        <v/>
      </c>
      <c r="G6" s="6">
        <f>COUNTIFS('6_DuLieuThoGanCo'!$Y$2:$Y$166,A6,'6_DuLieuThoGanCo'!$AE$2:$AE$166,0)</f>
        <v/>
      </c>
      <c r="H6" s="6">
        <f>SUM($E$4:E6)</f>
        <v/>
      </c>
      <c r="I6" s="6">
        <f>SUM($F$4:F6)</f>
        <v/>
      </c>
      <c r="J6" s="6">
        <f>SUM($F$4:F6)-SUM($G$4:G6)</f>
        <v/>
      </c>
      <c r="K6" s="7" t="inlineStr">
        <is>
          <t>Gửi Zalo cho 30 khách hàng; quầy không bố trí được chỗ</t>
        </is>
      </c>
    </row>
    <row r="7">
      <c r="A7" s="24" t="n">
        <v>45722</v>
      </c>
      <c r="B7" s="7" t="n">
        <v>0</v>
      </c>
      <c r="C7" s="7" t="n">
        <v>0</v>
      </c>
      <c r="D7" s="7" t="n">
        <v>12</v>
      </c>
      <c r="E7" s="6">
        <f>SUM(B7:D7)</f>
        <v/>
      </c>
      <c r="F7" s="6">
        <f>COUNTIF('6_DuLieuThoGanCo'!$Y$2:$Y$166,A7)</f>
        <v/>
      </c>
      <c r="G7" s="6">
        <f>COUNTIFS('6_DuLieuThoGanCo'!$Y$2:$Y$166,A7,'6_DuLieuThoGanCo'!$AE$2:$AE$166,0)</f>
        <v/>
      </c>
      <c r="H7" s="6">
        <f>SUM($E$4:E7)</f>
        <v/>
      </c>
      <c r="I7" s="6">
        <f>SUM($F$4:F7)</f>
        <v/>
      </c>
      <c r="J7" s="6">
        <f>SUM($F$4:F7)-SUM($G$4:G7)</f>
        <v/>
      </c>
      <c r="K7" s="7" t="inlineStr">
        <is>
          <t>Nhắc lần 1; ngày nhận nhiều nhất</t>
        </is>
      </c>
    </row>
    <row r="8">
      <c r="A8" s="24" t="n">
        <v>45723</v>
      </c>
      <c r="B8" s="7" t="n">
        <v>0</v>
      </c>
      <c r="C8" s="7" t="n">
        <v>0</v>
      </c>
      <c r="D8" s="7" t="n">
        <v>0</v>
      </c>
      <c r="E8" s="6">
        <f>SUM(B8:D8)</f>
        <v/>
      </c>
      <c r="F8" s="6">
        <f>COUNTIF('6_DuLieuThoGanCo'!$Y$2:$Y$166,A8)</f>
        <v/>
      </c>
      <c r="G8" s="6">
        <f>COUNTIFS('6_DuLieuThoGanCo'!$Y$2:$Y$166,A8,'6_DuLieuThoGanCo'!$AE$2:$AE$166,0)</f>
        <v/>
      </c>
      <c r="H8" s="6">
        <f>SUM($E$4:E8)</f>
        <v/>
      </c>
      <c r="I8" s="6">
        <f>SUM($F$4:F8)</f>
        <v/>
      </c>
      <c r="J8" s="6">
        <f>SUM($F$4:F8)-SUM($G$4:G8)</f>
        <v/>
      </c>
      <c r="K8" s="7" t="inlineStr">
        <is>
          <t>2 khách hỏi có phải ngân hàng thu thông tin không: giải thích sinh viên độc lập, không hỏi số tài khoản</t>
        </is>
      </c>
    </row>
    <row r="9">
      <c r="A9" s="24" t="n">
        <v>45724</v>
      </c>
      <c r="B9" s="7" t="n">
        <v>0</v>
      </c>
      <c r="C9" s="7" t="n">
        <v>0</v>
      </c>
      <c r="D9" s="7" t="n">
        <v>8</v>
      </c>
      <c r="E9" s="6">
        <f>SUM(B9:D9)</f>
        <v/>
      </c>
      <c r="F9" s="6">
        <f>COUNTIF('6_DuLieuThoGanCo'!$Y$2:$Y$166,A9)</f>
        <v/>
      </c>
      <c r="G9" s="6">
        <f>COUNTIFS('6_DuLieuThoGanCo'!$Y$2:$Y$166,A9,'6_DuLieuThoGanCo'!$AE$2:$AE$166,0)</f>
        <v/>
      </c>
      <c r="H9" s="6">
        <f>SUM($E$4:E9)</f>
        <v/>
      </c>
      <c r="I9" s="6">
        <f>SUM($F$4:F9)</f>
        <v/>
      </c>
      <c r="J9" s="6">
        <f>SUM($F$4:F9)-SUM($G$4:G9)</f>
        <v/>
      </c>
      <c r="K9" s="7" t="inlineStr">
        <is>
          <t>Thứ Bảy, quầy mở buổi sáng</t>
        </is>
      </c>
    </row>
    <row r="10">
      <c r="A10" s="24" t="n">
        <v>45725</v>
      </c>
      <c r="B10" s="7" t="n">
        <v>0</v>
      </c>
      <c r="C10" s="7" t="n">
        <v>0</v>
      </c>
      <c r="D10" s="7" t="n">
        <v>0</v>
      </c>
      <c r="E10" s="6">
        <f>SUM(B10:D10)</f>
        <v/>
      </c>
      <c r="F10" s="6">
        <f>COUNTIF('6_DuLieuThoGanCo'!$Y$2:$Y$166,A10)</f>
        <v/>
      </c>
      <c r="G10" s="6">
        <f>COUNTIFS('6_DuLieuThoGanCo'!$Y$2:$Y$166,A10,'6_DuLieuThoGanCo'!$AE$2:$AE$166,0)</f>
        <v/>
      </c>
      <c r="H10" s="6">
        <f>SUM($E$4:E10)</f>
        <v/>
      </c>
      <c r="I10" s="6">
        <f>SUM($F$4:F10)</f>
        <v/>
      </c>
      <c r="J10" s="6">
        <f>SUM($F$4:F10)-SUM($G$4:G10)</f>
        <v/>
      </c>
      <c r="K10" s="7" t="inlineStr">
        <is>
          <t>Chủ nhật, quầy nghỉ; chỉ nhận phiếu trực tuyến</t>
        </is>
      </c>
    </row>
    <row r="11">
      <c r="A11" s="24" t="n">
        <v>45726</v>
      </c>
      <c r="B11" s="7" t="n">
        <v>0</v>
      </c>
      <c r="C11" s="7" t="n">
        <v>0</v>
      </c>
      <c r="D11" s="7" t="n">
        <v>10</v>
      </c>
      <c r="E11" s="6">
        <f>SUM(B11:D11)</f>
        <v/>
      </c>
      <c r="F11" s="6">
        <f>COUNTIF('6_DuLieuThoGanCo'!$Y$2:$Y$166,A11)</f>
        <v/>
      </c>
      <c r="G11" s="6">
        <f>COUNTIFS('6_DuLieuThoGanCo'!$Y$2:$Y$166,A11,'6_DuLieuThoGanCo'!$AE$2:$AE$166,0)</f>
        <v/>
      </c>
      <c r="H11" s="6">
        <f>SUM($E$4:E11)</f>
        <v/>
      </c>
      <c r="I11" s="6">
        <f>SUM($F$4:F11)</f>
        <v/>
      </c>
      <c r="J11" s="6">
        <f>SUM($F$4:F11)-SUM($G$4:G11)</f>
        <v/>
      </c>
      <c r="K11" s="7" t="inlineStr">
        <is>
          <t>Đầu ngày kiểm tra tiến độ: 75 phiếu sau 7 ngày; giữ lịch nhắc lần 2 ngày 13/3</t>
        </is>
      </c>
    </row>
    <row r="12">
      <c r="A12" s="24" t="n">
        <v>45727</v>
      </c>
      <c r="B12" s="7" t="n">
        <v>0</v>
      </c>
      <c r="C12" s="7" t="n">
        <v>0</v>
      </c>
      <c r="D12" s="7" t="n">
        <v>0</v>
      </c>
      <c r="E12" s="6">
        <f>SUM(B12:D12)</f>
        <v/>
      </c>
      <c r="F12" s="6">
        <f>COUNTIF('6_DuLieuThoGanCo'!$Y$2:$Y$166,A12)</f>
        <v/>
      </c>
      <c r="G12" s="6">
        <f>COUNTIFS('6_DuLieuThoGanCo'!$Y$2:$Y$166,A12,'6_DuLieuThoGanCo'!$AE$2:$AE$166,0)</f>
        <v/>
      </c>
      <c r="H12" s="6">
        <f>SUM($E$4:E12)</f>
        <v/>
      </c>
      <c r="I12" s="6">
        <f>SUM($F$4:F12)</f>
        <v/>
      </c>
      <c r="J12" s="6">
        <f>SUM($F$4:F12)-SUM($G$4:G12)</f>
        <v/>
      </c>
      <c r="K12" s="7" t="inlineStr"/>
    </row>
    <row r="13">
      <c r="A13" s="24" t="n">
        <v>45728</v>
      </c>
      <c r="B13" s="7" t="n">
        <v>0</v>
      </c>
      <c r="C13" s="7" t="n">
        <v>0</v>
      </c>
      <c r="D13" s="7" t="n">
        <v>8</v>
      </c>
      <c r="E13" s="6">
        <f>SUM(B13:D13)</f>
        <v/>
      </c>
      <c r="F13" s="6">
        <f>COUNTIF('6_DuLieuThoGanCo'!$Y$2:$Y$166,A13)</f>
        <v/>
      </c>
      <c r="G13" s="6">
        <f>COUNTIFS('6_DuLieuThoGanCo'!$Y$2:$Y$166,A13,'6_DuLieuThoGanCo'!$AE$2:$AE$166,0)</f>
        <v/>
      </c>
      <c r="H13" s="6">
        <f>SUM($E$4:E13)</f>
        <v/>
      </c>
      <c r="I13" s="6">
        <f>SUM($F$4:F13)</f>
        <v/>
      </c>
      <c r="J13" s="6">
        <f>SUM($F$4:F13)-SUM($G$4:G13)</f>
        <v/>
      </c>
      <c r="K13" s="7" t="inlineStr">
        <is>
          <t>Phát hiện 1 phiếu gửi hai lần cách nhau 2 phút; không xóa, để lọc ở mục 3.5.2</t>
        </is>
      </c>
    </row>
    <row r="14">
      <c r="A14" s="24" t="n">
        <v>45729</v>
      </c>
      <c r="B14" s="7" t="n">
        <v>0</v>
      </c>
      <c r="C14" s="7" t="n">
        <v>0</v>
      </c>
      <c r="D14" s="7" t="n">
        <v>10</v>
      </c>
      <c r="E14" s="6">
        <f>SUM(B14:D14)</f>
        <v/>
      </c>
      <c r="F14" s="6">
        <f>COUNTIF('6_DuLieuThoGanCo'!$Y$2:$Y$166,A14)</f>
        <v/>
      </c>
      <c r="G14" s="6">
        <f>COUNTIFS('6_DuLieuThoGanCo'!$Y$2:$Y$166,A14,'6_DuLieuThoGanCo'!$AE$2:$AE$166,0)</f>
        <v/>
      </c>
      <c r="H14" s="6">
        <f>SUM($E$4:E14)</f>
        <v/>
      </c>
      <c r="I14" s="6">
        <f>SUM($F$4:F14)</f>
        <v/>
      </c>
      <c r="J14" s="6">
        <f>SUM($F$4:F14)-SUM($G$4:G14)</f>
        <v/>
      </c>
      <c r="K14" s="7" t="inlineStr">
        <is>
          <t>Nhắc lần 2; báo ngày đóng 17/3</t>
        </is>
      </c>
    </row>
    <row r="15">
      <c r="A15" s="24" t="n">
        <v>45730</v>
      </c>
      <c r="B15" s="7" t="n">
        <v>0</v>
      </c>
      <c r="C15" s="7" t="n">
        <v>0</v>
      </c>
      <c r="D15" s="7" t="n">
        <v>9</v>
      </c>
      <c r="E15" s="6">
        <f>SUM(B15:D15)</f>
        <v/>
      </c>
      <c r="F15" s="6">
        <f>COUNTIF('6_DuLieuThoGanCo'!$Y$2:$Y$166,A15)</f>
        <v/>
      </c>
      <c r="G15" s="6">
        <f>COUNTIFS('6_DuLieuThoGanCo'!$Y$2:$Y$166,A15,'6_DuLieuThoGanCo'!$AE$2:$AE$166,0)</f>
        <v/>
      </c>
      <c r="H15" s="6">
        <f>SUM($E$4:E15)</f>
        <v/>
      </c>
      <c r="I15" s="6">
        <f>SUM($F$4:F15)</f>
        <v/>
      </c>
      <c r="J15" s="6">
        <f>SUM($F$4:F15)-SUM($G$4:G15)</f>
        <v/>
      </c>
      <c r="K15" s="7" t="inlineStr"/>
    </row>
    <row r="16">
      <c r="A16" s="24" t="n">
        <v>45731</v>
      </c>
      <c r="B16" s="7" t="n">
        <v>0</v>
      </c>
      <c r="C16" s="7" t="n">
        <v>0</v>
      </c>
      <c r="D16" s="7" t="n">
        <v>10</v>
      </c>
      <c r="E16" s="6">
        <f>SUM(B16:D16)</f>
        <v/>
      </c>
      <c r="F16" s="6">
        <f>COUNTIF('6_DuLieuThoGanCo'!$Y$2:$Y$166,A16)</f>
        <v/>
      </c>
      <c r="G16" s="6">
        <f>COUNTIFS('6_DuLieuThoGanCo'!$Y$2:$Y$166,A16,'6_DuLieuThoGanCo'!$AE$2:$AE$166,0)</f>
        <v/>
      </c>
      <c r="H16" s="6">
        <f>SUM($E$4:E16)</f>
        <v/>
      </c>
      <c r="I16" s="6">
        <f>SUM($F$4:F16)</f>
        <v/>
      </c>
      <c r="J16" s="6">
        <f>SUM($F$4:F16)-SUM($G$4:G16)</f>
        <v/>
      </c>
      <c r="K16" s="7" t="inlineStr"/>
    </row>
    <row r="17">
      <c r="A17" s="24" t="n">
        <v>45732</v>
      </c>
      <c r="B17" s="7" t="n">
        <v>0</v>
      </c>
      <c r="C17" s="7" t="n">
        <v>0</v>
      </c>
      <c r="D17" s="7" t="n">
        <v>0</v>
      </c>
      <c r="E17" s="6">
        <f>SUM(B17:D17)</f>
        <v/>
      </c>
      <c r="F17" s="6">
        <f>COUNTIF('6_DuLieuThoGanCo'!$Y$2:$Y$166,A17)</f>
        <v/>
      </c>
      <c r="G17" s="6">
        <f>COUNTIFS('6_DuLieuThoGanCo'!$Y$2:$Y$166,A17,'6_DuLieuThoGanCo'!$AE$2:$AE$166,0)</f>
        <v/>
      </c>
      <c r="H17" s="6">
        <f>SUM($E$4:E17)</f>
        <v/>
      </c>
      <c r="I17" s="6">
        <f>SUM($F$4:F17)</f>
        <v/>
      </c>
      <c r="J17" s="6">
        <f>SUM($F$4:F17)-SUM($G$4:G17)</f>
        <v/>
      </c>
      <c r="K17" s="7" t="inlineStr"/>
    </row>
    <row r="18">
      <c r="A18" s="24" t="n">
        <v>45733</v>
      </c>
      <c r="B18" s="7" t="n">
        <v>0</v>
      </c>
      <c r="C18" s="7" t="n">
        <v>0</v>
      </c>
      <c r="D18" s="7" t="n">
        <v>0</v>
      </c>
      <c r="E18" s="6">
        <f>SUM(B18:D18)</f>
        <v/>
      </c>
      <c r="F18" s="6">
        <f>COUNTIF('6_DuLieuThoGanCo'!$Y$2:$Y$166,A18)</f>
        <v/>
      </c>
      <c r="G18" s="6">
        <f>COUNTIFS('6_DuLieuThoGanCo'!$Y$2:$Y$166,A18,'6_DuLieuThoGanCo'!$AE$2:$AE$166,0)</f>
        <v/>
      </c>
      <c r="H18" s="6">
        <f>SUM($E$4:E18)</f>
        <v/>
      </c>
      <c r="I18" s="6">
        <f>SUM($F$4:F18)</f>
        <v/>
      </c>
      <c r="J18" s="6">
        <f>SUM($F$4:F18)-SUM($G$4:G18)</f>
        <v/>
      </c>
      <c r="K18" s="7" t="inlineStr">
        <is>
          <t>Đóng khảo sát 10 giờ; tải file thô</t>
        </is>
      </c>
    </row>
    <row r="20">
      <c r="A20" s="5" t="inlineStr">
        <is>
          <t>Tổng hợp cho mục 3.5.1</t>
        </is>
      </c>
      <c r="B20" s="5" t="inlineStr">
        <is>
          <t>Kết quả</t>
        </is>
      </c>
    </row>
    <row r="21">
      <c r="A21" s="6" t="inlineStr">
        <is>
          <t>Tổng số người được mời</t>
        </is>
      </c>
      <c r="B21" s="17">
        <f>SUM(E4:E18)</f>
        <v/>
      </c>
    </row>
    <row r="22">
      <c r="A22" s="6" t="inlineStr">
        <is>
          <t>Tổng phiếu thu về</t>
        </is>
      </c>
      <c r="B22" s="17">
        <f>SUM(F4:F18)</f>
        <v/>
      </c>
    </row>
    <row r="23">
      <c r="A23" s="6" t="inlineStr">
        <is>
          <t>Tỷ lệ phản hồi</t>
        </is>
      </c>
      <c r="B23" s="25">
        <f>B22/B21</f>
        <v/>
      </c>
    </row>
    <row r="24">
      <c r="A24" s="6" t="inlineStr">
        <is>
          <t>Phiếu bị loại</t>
        </is>
      </c>
      <c r="B24" s="17">
        <f>SUM(G4:G18)</f>
        <v/>
      </c>
    </row>
    <row r="25">
      <c r="A25" s="6" t="inlineStr">
        <is>
          <t>Phiếu hợp lệ</t>
        </is>
      </c>
      <c r="B25" s="17">
        <f>B22-B24</f>
        <v/>
      </c>
    </row>
    <row r="26">
      <c r="A26" s="6" t="inlineStr">
        <is>
          <t>Số ngày thu</t>
        </is>
      </c>
      <c r="B26" s="17">
        <f>COUNT(A4:A18)</f>
        <v/>
      </c>
    </row>
  </sheetData>
  <mergeCells count="1">
    <mergeCell ref="A2:K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40" customWidth="1" min="6" max="6"/>
  </cols>
  <sheetData>
    <row r="1">
      <c r="A1" s="3" t="inlineStr">
        <is>
          <t>KIỂM TRA SAI LỆCH DO KHÔNG PHẢN HỒI: NHÓM SỚM VÀ NHÓM MUỘN (Bảng BS13 của sách)</t>
        </is>
      </c>
    </row>
    <row r="2" ht="75" customHeight="1">
      <c r="A2" s="4" t="inlineStr">
        <is>
          <t>Armstrong và Overton (1977): người trả lời muộn thường giống người không trả lời hơn. Nếu nhóm trả lời sau lần nhắc cuối không khác nhóm trả lời trước lần nhắc đầu thì chưa có dấu hiệu sai lệch do không phản hồi. Nhóm sớm: đợt 1 (3/3 đến 5/3, trước nhắc lần 1). Nhóm muộn: đợt 3 (13/3 đến 17/3, sau nhắc lần 2). Chỉ tính phiếu hợp lệ. T.TEST loại 3: kiểm định t hai mẫu độc lập không giả định phương sai bằng nhau.</t>
        </is>
      </c>
    </row>
    <row r="3">
      <c r="A3" s="5" t="inlineStr">
        <is>
          <t>Biến</t>
        </is>
      </c>
      <c r="B3" s="5" t="inlineStr">
        <is>
          <t>Nhóm sớm</t>
        </is>
      </c>
      <c r="C3" s="5" t="inlineStr">
        <is>
          <t>Nhóm muộn</t>
        </is>
      </c>
      <c r="D3" s="5" t="inlineStr">
        <is>
          <t>Chênh lệch</t>
        </is>
      </c>
      <c r="E3" s="5" t="inlineStr">
        <is>
          <t>P-value</t>
        </is>
      </c>
      <c r="F3" s="5" t="inlineStr">
        <is>
          <t>Kết luận</t>
        </is>
      </c>
    </row>
    <row r="4">
      <c r="A4" s="6" t="inlineStr">
        <is>
          <t>Số phiếu hợp lệ</t>
        </is>
      </c>
      <c r="B4" s="26">
        <f>COUNTIFS('6_DuLieuThoGanCo'!$Z$2:$Z$166,1,'6_DuLieuThoGanCo'!$AE$2:$AE$166,1)</f>
        <v/>
      </c>
      <c r="C4" s="26">
        <f>COUNTIFS('6_DuLieuThoGanCo'!$Z$2:$Z$166,3,'6_DuLieuThoGanCo'!$AE$2:$AE$166,1)</f>
        <v/>
      </c>
      <c r="D4" s="27" t="inlineStr"/>
      <c r="E4" s="27" t="inlineStr"/>
      <c r="F4" s="6" t="inlineStr">
        <is>
          <t>Đợt 2 có phần còn lại</t>
        </is>
      </c>
    </row>
    <row r="5">
      <c r="A5" s="6" t="inlineStr">
        <is>
          <t>Sự hữu ích (HI)</t>
        </is>
      </c>
      <c r="B5" s="27">
        <f>AVERAGE('6_DuLieuThoGanCo'!$AG$2:$AG$31)</f>
        <v/>
      </c>
      <c r="C5" s="27">
        <f>AVERAGE('6_DuLieuThoGanCo'!$AG$109:$AG$166)</f>
        <v/>
      </c>
      <c r="D5" s="27">
        <f>C5-B5</f>
        <v/>
      </c>
      <c r="E5" s="28">
        <f>_xlfn.T.TEST('6_DuLieuThoGanCo'!$AG$2:$AG$31,'6_DuLieuThoGanCo'!$AG$109:$AG$166,2,3)</f>
        <v/>
      </c>
      <c r="F5" s="6">
        <f>IF(E5&lt;0.05,"Khác biệt: ghi vào hạn chế",IF(E5&lt;0.1,"Gần ngưỡng: nêu thận trọng","Không khác biệt"))</f>
        <v/>
      </c>
    </row>
    <row r="6">
      <c r="A6" s="6" t="inlineStr">
        <is>
          <t>Sự dễ sử dụng (SD)</t>
        </is>
      </c>
      <c r="B6" s="27">
        <f>AVERAGE('6_DuLieuThoGanCo'!$AH$2:$AH$31)</f>
        <v/>
      </c>
      <c r="C6" s="27">
        <f>AVERAGE('6_DuLieuThoGanCo'!$AH$109:$AH$166)</f>
        <v/>
      </c>
      <c r="D6" s="27">
        <f>C6-B6</f>
        <v/>
      </c>
      <c r="E6" s="28">
        <f>_xlfn.T.TEST('6_DuLieuThoGanCo'!$AH$2:$AH$31,'6_DuLieuThoGanCo'!$AH$109:$AH$166,2,3)</f>
        <v/>
      </c>
      <c r="F6" s="6">
        <f>IF(E6&lt;0.05,"Khác biệt: ghi vào hạn chế",IF(E6&lt;0.1,"Gần ngưỡng: nêu thận trọng","Không khác biệt"))</f>
        <v/>
      </c>
    </row>
    <row r="7">
      <c r="A7" s="6" t="inlineStr">
        <is>
          <t>Niềm tin (NT)</t>
        </is>
      </c>
      <c r="B7" s="27">
        <f>AVERAGE('6_DuLieuThoGanCo'!$AI$2:$AI$31)</f>
        <v/>
      </c>
      <c r="C7" s="27">
        <f>AVERAGE('6_DuLieuThoGanCo'!$AI$109:$AI$166)</f>
        <v/>
      </c>
      <c r="D7" s="27">
        <f>C7-B7</f>
        <v/>
      </c>
      <c r="E7" s="28">
        <f>_xlfn.T.TEST('6_DuLieuThoGanCo'!$AI$2:$AI$31,'6_DuLieuThoGanCo'!$AI$109:$AI$166,2,3)</f>
        <v/>
      </c>
      <c r="F7" s="6">
        <f>IF(E7&lt;0.05,"Khác biệt: ghi vào hạn chế",IF(E7&lt;0.1,"Gần ngưỡng: nêu thận trọng","Không khác biệt"))</f>
        <v/>
      </c>
    </row>
    <row r="8">
      <c r="A8" s="6" t="inlineStr">
        <is>
          <t>Ảnh hưởng xã hội (XH)</t>
        </is>
      </c>
      <c r="B8" s="27">
        <f>AVERAGE('6_DuLieuThoGanCo'!$AJ$2:$AJ$31)</f>
        <v/>
      </c>
      <c r="C8" s="27">
        <f>AVERAGE('6_DuLieuThoGanCo'!$AJ$109:$AJ$166)</f>
        <v/>
      </c>
      <c r="D8" s="27">
        <f>C8-B8</f>
        <v/>
      </c>
      <c r="E8" s="28">
        <f>_xlfn.T.TEST('6_DuLieuThoGanCo'!$AJ$2:$AJ$31,'6_DuLieuThoGanCo'!$AJ$109:$AJ$166,2,3)</f>
        <v/>
      </c>
      <c r="F8" s="6">
        <f>IF(E8&lt;0.05,"Khác biệt: ghi vào hạn chế",IF(E8&lt;0.1,"Gần ngưỡng: nêu thận trọng","Không khác biệt"))</f>
        <v/>
      </c>
    </row>
    <row r="9">
      <c r="A9" s="6" t="inlineStr">
        <is>
          <t>Ý định sử dụng (YD)</t>
        </is>
      </c>
      <c r="B9" s="27">
        <f>AVERAGE('6_DuLieuThoGanCo'!$AK$2:$AK$31)</f>
        <v/>
      </c>
      <c r="C9" s="27">
        <f>AVERAGE('6_DuLieuThoGanCo'!$AK$109:$AK$166)</f>
        <v/>
      </c>
      <c r="D9" s="27">
        <f>C9-B9</f>
        <v/>
      </c>
      <c r="E9" s="28">
        <f>_xlfn.T.TEST('6_DuLieuThoGanCo'!$AK$2:$AK$31,'6_DuLieuThoGanCo'!$AK$109:$AK$166,2,3)</f>
        <v/>
      </c>
      <c r="F9" s="6">
        <f>IF(E9&lt;0.05,"Khác biệt: ghi vào hạn chế",IF(E9&lt;0.1,"Gần ngưỡng: nêu thận trọng","Không khác biệt"))</f>
        <v/>
      </c>
    </row>
    <row r="11" ht="50" customHeight="1">
      <c r="A11" s="4" t="inlineStr">
        <is>
          <t>Cách đọc: cả năm P-value đều lớn hơn 0,05 nên chưa có dấu hiệu sai lệch do không phản hồi. Niềm tin có P-value gần 0,1 và nhóm muộn đánh giá thấp hơn: khóa luận nên nêu điều này một cách thận trọng ở mục hạn chế, vì người không trả lời có thể tin ngân hàng số ít hơn.</t>
        </is>
      </c>
    </row>
  </sheetData>
  <mergeCells count="2">
    <mergeCell ref="A2:F2"/>
    <mergeCell ref="A11:F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0" customWidth="1" min="1" max="1"/>
    <col width="16" customWidth="1" min="2" max="2"/>
    <col width="60" customWidth="1" min="3" max="3"/>
  </cols>
  <sheetData>
    <row r="1">
      <c r="A1" s="3" t="inlineStr">
        <is>
          <t>TRẢ LỜI CẨU THẢ VÀ SAI LỆCH PHƯƠNG PHÁP CHUNG (Bảng BS12 của sách)</t>
        </is>
      </c>
    </row>
    <row r="2">
      <c r="A2" s="5" t="inlineStr">
        <is>
          <t>Kiểm tra</t>
        </is>
      </c>
      <c r="B2" s="5" t="inlineStr">
        <is>
          <t>Kết quả</t>
        </is>
      </c>
      <c r="C2" s="5" t="inlineStr">
        <is>
          <t>Cách đọc</t>
        </is>
      </c>
    </row>
    <row r="3">
      <c r="A3" s="6" t="inlineStr">
        <is>
          <t>Phiếu chọn cùng một mức cho mọi câu (độ lệch chuẩn dòng = 0)</t>
        </is>
      </c>
      <c r="B3" s="29">
        <f>COUNTIF('6_DuLieuThoGanCo'!$AD$2:$AD$166,0)</f>
        <v/>
      </c>
      <c r="C3" s="6" t="inlineStr">
        <is>
          <t>Bằng 0: không có phiếu trả lời theo một đường thẳng</t>
        </is>
      </c>
    </row>
    <row r="4">
      <c r="A4" s="6" t="inlineStr">
        <is>
          <t>Độ lệch chuẩn dòng nhỏ nhất trong các phiếu hợp lệ</t>
        </is>
      </c>
      <c r="B4" s="29">
        <f>_xlfn.MINIFS('6_DuLieuThoGanCo'!$AD$2:$AD$166,'6_DuLieuThoGanCo'!$AE$2:$AE$166,1)</f>
        <v/>
      </c>
      <c r="C4" s="6" t="inlineStr">
        <is>
          <t>Lớn hơn 0: người trả lời có phân biệt giữa các câu</t>
        </is>
      </c>
    </row>
    <row r="5">
      <c r="A5" s="6" t="inlineStr">
        <is>
          <t>Phiếu bị loại vì trùng</t>
        </is>
      </c>
      <c r="B5" s="29">
        <f>COUNTIF('6_DuLieuThoGanCo'!$AC$2:$AC$166,1)</f>
        <v/>
      </c>
      <c r="C5" s="6" t="inlineStr">
        <is>
          <t>Khớp 5 phiếu trùng ở mục 3.5.2</t>
        </is>
      </c>
    </row>
    <row r="6">
      <c r="A6" s="6" t="inlineStr">
        <is>
          <t>Phiếu bị loại vì bỏ trống từ 8 ô trở lên</t>
        </is>
      </c>
      <c r="B6" s="29">
        <f>COUNTIF('6_DuLieuThoGanCo'!$AA$2:$AA$166,"&gt;=8")</f>
        <v/>
      </c>
      <c r="C6" s="6" t="inlineStr">
        <is>
          <t>Khớp 10 phiếu bỏ trống ở mục 3.5.2</t>
        </is>
      </c>
    </row>
    <row r="7">
      <c r="A7" s="6" t="inlineStr">
        <is>
          <t>Kiểm định một nhân tố của Harman: phần trăm phương sai của nhân tố đầu tiên (19 câu, không xoay)</t>
        </is>
      </c>
      <c r="B7" s="25" t="n">
        <v>0.32</v>
      </c>
      <c r="C7" s="6" t="inlineStr">
        <is>
          <t>Tính bằng phần mềm thống kê vì Excel không có phân tích nhân tố. Dưới 50% là ngưỡng thường dùng trong thực hành; Podsakoff và cộng sự (2003) lưu ý kiểm định này chỉ là bằng chứng yếu</t>
        </is>
      </c>
    </row>
    <row r="8">
      <c r="A8" s="6" t="inlineStr">
        <is>
          <t>Nếu dùng SmartPLS: VIF toàn phần của mọi biến tiềm ẩn</t>
        </is>
      </c>
      <c r="B8" s="30" t="inlineStr">
        <is>
          <t>[điền]</t>
        </is>
      </c>
      <c r="C8" s="6" t="inlineStr">
        <is>
          <t>Lớn hơn 3,3 là dấu hiệu sai lệch phương pháp chung (Kock, 2015)</t>
        </is>
      </c>
    </row>
    <row r="10">
      <c r="A10" s="11" t="inlineStr">
        <is>
          <t>Thiết kế câu kiểm tra sự chú ý (đặt giữa phần câu hỏi chính)</t>
        </is>
      </c>
    </row>
    <row r="11">
      <c r="A11" s="5" t="inlineStr">
        <is>
          <t>Cách viết</t>
        </is>
      </c>
      <c r="B11" s="5" t="inlineStr">
        <is>
          <t>Đánh giá</t>
        </is>
      </c>
      <c r="C11" s="5" t="inlineStr">
        <is>
          <t>Lý do</t>
        </is>
      </c>
    </row>
    <row r="12">
      <c r="A12" s="6" t="inlineStr">
        <is>
          <t>"Để xác nhận Anh/Chị đang đọc kỹ, vui lòng chọn mức 2 (Không đồng ý) cho câu này."</t>
        </is>
      </c>
      <c r="B12" s="6" t="inlineStr">
        <is>
          <t>Nên dùng</t>
        </is>
      </c>
      <c r="C12" s="6" t="inlineStr">
        <is>
          <t>Câu chỉ dẫn trực tiếp; Meade và Craig (2012) khuyến nghị dạng này</t>
        </is>
      </c>
    </row>
    <row r="13">
      <c r="A13" s="6" t="inlineStr">
        <is>
          <t>"Tôi chưa bao giờ dùng điện thoại." (với khách hàng đang dùng ứng dụng)</t>
        </is>
      </c>
      <c r="B13" s="6" t="inlineStr">
        <is>
          <t>Dùng thận trọng</t>
        </is>
      </c>
      <c r="C13" s="6" t="inlineStr">
        <is>
          <t>Người trả lời có thể hiểu theo nghĩa khác</t>
        </is>
      </c>
    </row>
    <row r="14">
      <c r="A14" s="6" t="inlineStr">
        <is>
          <t>Đặt ba câu kiểm tra trong phiếu 19 câu</t>
        </is>
      </c>
      <c r="B14" s="6" t="inlineStr">
        <is>
          <t>Không nên</t>
        </is>
      </c>
      <c r="C14" s="6" t="inlineStr">
        <is>
          <t>Phiếu dài thêm, người trả lời thấy bị nghi ngờ</t>
        </is>
      </c>
    </row>
    <row r="16" ht="45" customHeight="1">
      <c r="A16" s="4" t="inlineStr">
        <is>
          <t>File dữ liệu của Ngân hàng X không có câu kiểm tra sự chú ý. Khi đề tài có câu này, sinh viên thêm một cột vào sheet 6 và một điều kiện vào công thức cột Giữ, rồi ghi tiêu chí loại vào Chương 3 trước khi mở dữ liệu.</t>
        </is>
      </c>
    </row>
  </sheetData>
  <mergeCells count="1">
    <mergeCell ref="A16:C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8" customWidth="1" min="1" max="1"/>
    <col width="12" customWidth="1" min="2" max="2"/>
    <col width="22" customWidth="1" min="3" max="3"/>
    <col width="9" customWidth="1" min="4" max="4"/>
    <col width="38" customWidth="1" min="5" max="5"/>
    <col width="10" customWidth="1" min="6" max="6"/>
    <col width="10" customWidth="1" min="7" max="7"/>
    <col width="26" customWidth="1" min="8" max="8"/>
  </cols>
  <sheetData>
    <row r="1">
      <c r="A1" s="3" t="inlineStr">
        <is>
          <t>NHẬT KÝ PHỎNG VẤN VÀ ĐIỂM BÃO HÒA (Trường Tiểu học Y, Bảng BS11 của sách, dữ liệu giả định)</t>
        </is>
      </c>
    </row>
    <row r="2" ht="60" customHeight="1">
      <c r="A2" s="4" t="inlineStr">
        <is>
          <t>Câu hỏi định tính: "Phụ huynh trải nghiệm việc làm thủ tục tại Trường Tiểu học Y như thế nào?" Thiết kế gần nhất là hiện tượng học (Bảng 24 của sách). Cột F đếm tự động số mã xuất hiện lần đầu ở buổi đó (lấy từ dòng "Buổi xuất hiện đầu tiên" của sheet 11). Quy tắc dừng của sách: hai đến ba buổi liên tiếp không thêm mã mới.</t>
        </is>
      </c>
    </row>
    <row r="3">
      <c r="A3" s="5" t="inlineStr">
        <is>
          <t>Buổi</t>
        </is>
      </c>
      <c r="B3" s="5" t="inlineStr">
        <is>
          <t>Mã người</t>
        </is>
      </c>
      <c r="C3" s="5" t="inlineStr">
        <is>
          <t>Vai trò</t>
        </is>
      </c>
      <c r="D3" s="5" t="inlineStr">
        <is>
          <t>Số phút</t>
        </is>
      </c>
      <c r="E3" s="5" t="inlineStr">
        <is>
          <t>Ghi chú thực địa</t>
        </is>
      </c>
      <c r="F3" s="5" t="inlineStr">
        <is>
          <t>Số mã mới</t>
        </is>
      </c>
      <c r="G3" s="5" t="inlineStr">
        <is>
          <t>Lũy kế mã</t>
        </is>
      </c>
      <c r="H3" s="5" t="inlineStr">
        <is>
          <t>Quyết định</t>
        </is>
      </c>
    </row>
    <row r="4">
      <c r="A4" s="6" t="n">
        <v>1</v>
      </c>
      <c r="B4" s="6" t="inlineStr">
        <is>
          <t>PH01</t>
        </is>
      </c>
      <c r="C4" s="6" t="inlineStr">
        <is>
          <t>Mẹ, khối 1</t>
        </is>
      </c>
      <c r="D4" s="6" t="n">
        <v>38</v>
      </c>
      <c r="E4" s="6" t="inlineStr">
        <is>
          <t>Buổi đầu: nhiều mã mới</t>
        </is>
      </c>
      <c r="F4" s="17">
        <f>COUNTIF('11_MaHoaPhongVan'!$C$19:$P$19,A4)</f>
        <v/>
      </c>
      <c r="G4" s="6">
        <f>SUM($F$4:F4)</f>
        <v/>
      </c>
      <c r="H4" s="6" t="inlineStr"/>
    </row>
    <row r="5">
      <c r="A5" s="6" t="n">
        <v>2</v>
      </c>
      <c r="B5" s="6" t="inlineStr">
        <is>
          <t>PH02</t>
        </is>
      </c>
      <c r="C5" s="6" t="inlineStr">
        <is>
          <t>Bố, khối 3</t>
        </is>
      </c>
      <c r="D5" s="6" t="n">
        <v>42</v>
      </c>
      <c r="E5" s="6" t="inlineStr"/>
      <c r="F5" s="17">
        <f>COUNTIF('11_MaHoaPhongVan'!$C$19:$P$19,A5)</f>
        <v/>
      </c>
      <c r="G5" s="6">
        <f>SUM($F$4:F5)</f>
        <v/>
      </c>
      <c r="H5" s="17">
        <f>IF(AND(F5=0,F4=0),"Đủ điều kiện dừng","Tiếp tục")</f>
        <v/>
      </c>
    </row>
    <row r="6">
      <c r="A6" s="6" t="n">
        <v>3</v>
      </c>
      <c r="B6" s="6" t="inlineStr">
        <is>
          <t>PH03</t>
        </is>
      </c>
      <c r="C6" s="6" t="inlineStr">
        <is>
          <t>Mẹ, khối 5</t>
        </is>
      </c>
      <c r="D6" s="6" t="n">
        <v>35</v>
      </c>
      <c r="E6" s="6" t="inlineStr"/>
      <c r="F6" s="17">
        <f>COUNTIF('11_MaHoaPhongVan'!$C$19:$P$19,A6)</f>
        <v/>
      </c>
      <c r="G6" s="6">
        <f>SUM($F$4:F6)</f>
        <v/>
      </c>
      <c r="H6" s="17">
        <f>IF(AND(F6=0,F5=0),"Đủ điều kiện dừng","Tiếp tục")</f>
        <v/>
      </c>
    </row>
    <row r="7">
      <c r="A7" s="6" t="n">
        <v>4</v>
      </c>
      <c r="B7" s="6" t="inlineStr">
        <is>
          <t>PH04</t>
        </is>
      </c>
      <c r="C7" s="6" t="inlineStr">
        <is>
          <t>Bố, khối 2</t>
        </is>
      </c>
      <c r="D7" s="6" t="n">
        <v>31</v>
      </c>
      <c r="E7" s="6" t="inlineStr">
        <is>
          <t>Nói nhiều về nộp hồ sơ trực tuyến</t>
        </is>
      </c>
      <c r="F7" s="17">
        <f>COUNTIF('11_MaHoaPhongVan'!$C$19:$P$19,A7)</f>
        <v/>
      </c>
      <c r="G7" s="6">
        <f>SUM($F$4:F7)</f>
        <v/>
      </c>
      <c r="H7" s="17">
        <f>IF(AND(F7=0,F6=0),"Đủ điều kiện dừng","Tiếp tục")</f>
        <v/>
      </c>
    </row>
    <row r="8">
      <c r="A8" s="6" t="n">
        <v>5</v>
      </c>
      <c r="B8" s="6" t="inlineStr">
        <is>
          <t>PH05</t>
        </is>
      </c>
      <c r="C8" s="6" t="inlineStr">
        <is>
          <t>Mẹ, khối 4</t>
        </is>
      </c>
      <c r="D8" s="6" t="n">
        <v>40</v>
      </c>
      <c r="E8" s="6" t="inlineStr"/>
      <c r="F8" s="17">
        <f>COUNTIF('11_MaHoaPhongVan'!$C$19:$P$19,A8)</f>
        <v/>
      </c>
      <c r="G8" s="6">
        <f>SUM($F$4:F8)</f>
        <v/>
      </c>
      <c r="H8" s="17">
        <f>IF(AND(F8=0,F7=0),"Đủ điều kiện dừng","Tiếp tục")</f>
        <v/>
      </c>
    </row>
    <row r="9">
      <c r="A9" s="6" t="n">
        <v>6</v>
      </c>
      <c r="B9" s="6" t="inlineStr">
        <is>
          <t>PH06</t>
        </is>
      </c>
      <c r="C9" s="6" t="inlineStr">
        <is>
          <t>Bà nội, khối 1</t>
        </is>
      </c>
      <c r="D9" s="6" t="n">
        <v>28</v>
      </c>
      <c r="E9" s="6" t="inlineStr">
        <is>
          <t>Người làm thay cha mẹ: thêm góc nhìn mới</t>
        </is>
      </c>
      <c r="F9" s="17">
        <f>COUNTIF('11_MaHoaPhongVan'!$C$19:$P$19,A9)</f>
        <v/>
      </c>
      <c r="G9" s="6">
        <f>SUM($F$4:F9)</f>
        <v/>
      </c>
      <c r="H9" s="17">
        <f>IF(AND(F9=0,F8=0),"Đủ điều kiện dừng","Tiếp tục")</f>
        <v/>
      </c>
    </row>
    <row r="10">
      <c r="A10" s="6" t="n">
        <v>7</v>
      </c>
      <c r="B10" s="6" t="inlineStr">
        <is>
          <t>PH07</t>
        </is>
      </c>
      <c r="C10" s="6" t="inlineStr">
        <is>
          <t>Mẹ, khối 3</t>
        </is>
      </c>
      <c r="D10" s="6" t="n">
        <v>33</v>
      </c>
      <c r="E10" s="6" t="inlineStr">
        <is>
          <t>Không có mã mới: chưa đủ để dừng</t>
        </is>
      </c>
      <c r="F10" s="17">
        <f>COUNTIF('11_MaHoaPhongVan'!$C$19:$P$19,A10)</f>
        <v/>
      </c>
      <c r="G10" s="6">
        <f>SUM($F$4:F10)</f>
        <v/>
      </c>
      <c r="H10" s="17">
        <f>IF(AND(F10=0,F9=0),"Đủ điều kiện dừng","Tiếp tục")</f>
        <v/>
      </c>
    </row>
    <row r="11">
      <c r="A11" s="6" t="n">
        <v>8</v>
      </c>
      <c r="B11" s="6" t="inlineStr">
        <is>
          <t>PH08</t>
        </is>
      </c>
      <c r="C11" s="6" t="inlineStr">
        <is>
          <t>Bố, khối 5</t>
        </is>
      </c>
      <c r="D11" s="6" t="n">
        <v>36</v>
      </c>
      <c r="E11" s="6" t="inlineStr">
        <is>
          <t>Lại có 1 mã mới</t>
        </is>
      </c>
      <c r="F11" s="17">
        <f>COUNTIF('11_MaHoaPhongVan'!$C$19:$P$19,A11)</f>
        <v/>
      </c>
      <c r="G11" s="6">
        <f>SUM($F$4:F11)</f>
        <v/>
      </c>
      <c r="H11" s="17">
        <f>IF(AND(F11=0,F10=0),"Đủ điều kiện dừng","Tiếp tục")</f>
        <v/>
      </c>
    </row>
    <row r="12">
      <c r="A12" s="6" t="n">
        <v>9</v>
      </c>
      <c r="B12" s="6" t="inlineStr">
        <is>
          <t>PH09</t>
        </is>
      </c>
      <c r="C12" s="6" t="inlineStr">
        <is>
          <t>Mẹ, khối 2</t>
        </is>
      </c>
      <c r="D12" s="6" t="n">
        <v>30</v>
      </c>
      <c r="E12" s="6" t="inlineStr"/>
      <c r="F12" s="17">
        <f>COUNTIF('11_MaHoaPhongVan'!$C$19:$P$19,A12)</f>
        <v/>
      </c>
      <c r="G12" s="6">
        <f>SUM($F$4:F12)</f>
        <v/>
      </c>
      <c r="H12" s="17">
        <f>IF(AND(F12=0,F11=0),"Đủ điều kiện dừng","Tiếp tục")</f>
        <v/>
      </c>
    </row>
    <row r="13">
      <c r="A13" s="6" t="n">
        <v>10</v>
      </c>
      <c r="B13" s="6" t="inlineStr">
        <is>
          <t>PH10</t>
        </is>
      </c>
      <c r="C13" s="6" t="inlineStr">
        <is>
          <t>Bố, khối 4</t>
        </is>
      </c>
      <c r="D13" s="6" t="n">
        <v>34</v>
      </c>
      <c r="E13" s="6" t="inlineStr">
        <is>
          <t>Buổi thứ hai liên tiếp không có mã mới</t>
        </is>
      </c>
      <c r="F13" s="17">
        <f>COUNTIF('11_MaHoaPhongVan'!$C$19:$P$19,A13)</f>
        <v/>
      </c>
      <c r="G13" s="6">
        <f>SUM($F$4:F13)</f>
        <v/>
      </c>
      <c r="H13" s="17">
        <f>IF(AND(F13=0,F12=0),"Đủ điều kiện dừng","Tiếp tục")</f>
        <v/>
      </c>
    </row>
    <row r="15" ht="75" customHeight="1">
      <c r="A15" s="4" t="inlineStr">
        <is>
          <t>Cách đọc: 10 trên 14 mã xuất hiện ngay trong 3 buổi đầu. Buổi 7 không có mã mới nhưng buổi 8 lại thêm 1 mã, vì vậy một buổi không có mã mới chưa đủ để dừng. Buổi 9 và 10 liên tiếp không thêm mã nên dừng ở buổi 10. Con số 10 buổi nằm trong khoảng 9 đến 17 phỏng vấn mà tổng quan của Hennink và Kaiser (2022) ghi nhận là thường đủ để bão hòa chủ đề với nhóm người tham gia đồng nhất.</t>
        </is>
      </c>
    </row>
  </sheetData>
  <mergeCells count="2">
    <mergeCell ref="A2:H2"/>
    <mergeCell ref="A15:H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10" customWidth="1" min="1" max="1"/>
    <col width="34"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10" customWidth="1" min="17" max="17"/>
  </cols>
  <sheetData>
    <row r="1">
      <c r="A1" s="3" t="inlineStr">
        <is>
          <t>MA TRẬN MÃ HÓA PHỎNG VẤN (1 = người này có nói đến mã đó; dữ liệu giả định)</t>
        </is>
      </c>
    </row>
    <row r="2" ht="45" customHeight="1">
      <c r="A2" s="4" t="inlineStr">
        <is>
          <t>Mã mở bám sát lời người được phỏng vấn; chữ cái đầu là chủ đề. TG, TT, TD dùng đúng mã của sheet 12_CauHoiMo trong file Trường Y. TB (thông tin, thông báo), CS (cơ sở vật chất), SO (mong muốn số hóa) là mã mới từ phỏng vấn.</t>
        </is>
      </c>
    </row>
    <row r="4">
      <c r="A4" s="31" t="inlineStr">
        <is>
          <t>Mã người</t>
        </is>
      </c>
      <c r="B4" s="31" t="inlineStr">
        <is>
          <t>Vai trò</t>
        </is>
      </c>
      <c r="C4" s="31" t="inlineStr">
        <is>
          <t>TG1</t>
        </is>
      </c>
      <c r="D4" s="31" t="inlineStr">
        <is>
          <t>TT1</t>
        </is>
      </c>
      <c r="E4" s="31" t="inlineStr">
        <is>
          <t>TD1</t>
        </is>
      </c>
      <c r="F4" s="31" t="inlineStr">
        <is>
          <t>TB1</t>
        </is>
      </c>
      <c r="G4" s="31" t="inlineStr">
        <is>
          <t>TT2</t>
        </is>
      </c>
      <c r="H4" s="31" t="inlineStr">
        <is>
          <t>TG2</t>
        </is>
      </c>
      <c r="I4" s="31" t="inlineStr">
        <is>
          <t>TD2</t>
        </is>
      </c>
      <c r="J4" s="31" t="inlineStr">
        <is>
          <t>TB2</t>
        </is>
      </c>
      <c r="K4" s="31" t="inlineStr">
        <is>
          <t>CS1</t>
        </is>
      </c>
      <c r="L4" s="31" t="inlineStr">
        <is>
          <t>TT3</t>
        </is>
      </c>
      <c r="M4" s="31" t="inlineStr">
        <is>
          <t>SO1</t>
        </is>
      </c>
      <c r="N4" s="31" t="inlineStr">
        <is>
          <t>TD3</t>
        </is>
      </c>
      <c r="O4" s="31" t="inlineStr">
        <is>
          <t>TB3</t>
        </is>
      </c>
      <c r="P4" s="31" t="inlineStr">
        <is>
          <t>SO2</t>
        </is>
      </c>
      <c r="Q4" s="31" t="inlineStr">
        <is>
          <t>Số mã</t>
        </is>
      </c>
    </row>
    <row r="5" ht="150" customHeight="1">
      <c r="A5" s="32" t="inlineStr">
        <is>
          <t>Nội dung mã</t>
        </is>
      </c>
      <c r="C5" s="33" t="inlineStr">
        <is>
          <t>Xếp hàng chờ lâu</t>
        </is>
      </c>
      <c r="D5" s="33" t="inlineStr">
        <is>
          <t>Phải nộp lại giấy tờ đã nộp</t>
        </is>
      </c>
      <c r="E5" s="33" t="inlineStr">
        <is>
          <t>Nhân viên hướng dẫn tận tình</t>
        </is>
      </c>
      <c r="F5" s="33" t="inlineStr">
        <is>
          <t>Không biết lịch làm thủ tục</t>
        </is>
      </c>
      <c r="G5" s="33" t="inlineStr">
        <is>
          <t>Mẫu đơn khó hiểu</t>
        </is>
      </c>
      <c r="H5" s="33" t="inlineStr">
        <is>
          <t>Giờ văn phòng trùng giờ đi làm</t>
        </is>
      </c>
      <c r="I5" s="33" t="inlineStr">
        <is>
          <t>Nhân viên vắng mặt khi cần</t>
        </is>
      </c>
      <c r="J5" s="33" t="inlineStr">
        <is>
          <t>Thông báo trong nhóm Zalo lớp bị trôi</t>
        </is>
      </c>
      <c r="K5" s="33" t="inlineStr">
        <is>
          <t>Không có chỗ ngồi chờ</t>
        </is>
      </c>
      <c r="L5" s="33" t="inlineStr">
        <is>
          <t>Phải đi lại nhiều lần</t>
        </is>
      </c>
      <c r="M5" s="33" t="inlineStr">
        <is>
          <t>Muốn nộp hồ sơ trực tuyến</t>
        </is>
      </c>
      <c r="N5" s="33" t="inlineStr">
        <is>
          <t>Nhân viên quan tâm hoàn cảnh gia đình</t>
        </is>
      </c>
      <c r="O5" s="33" t="inlineStr">
        <is>
          <t>Ông bà làm thay không đọc được hướng dẫn</t>
        </is>
      </c>
      <c r="P5" s="33" t="inlineStr">
        <is>
          <t>Muốn nhận kết quả qua tin nhắn</t>
        </is>
      </c>
    </row>
    <row r="6">
      <c r="A6" s="21" t="inlineStr">
        <is>
          <t>PH01</t>
        </is>
      </c>
      <c r="B6" s="21" t="inlineStr">
        <is>
          <t>Mẹ, khối 1</t>
        </is>
      </c>
      <c r="C6" s="34" t="n">
        <v>1</v>
      </c>
      <c r="D6" s="34" t="n">
        <v>1</v>
      </c>
      <c r="E6" s="34" t="n">
        <v>1</v>
      </c>
      <c r="F6" s="34" t="n">
        <v>1</v>
      </c>
      <c r="G6" s="34" t="n">
        <v>1</v>
      </c>
      <c r="H6" s="34" t="n">
        <v>0</v>
      </c>
      <c r="I6" s="34" t="n">
        <v>0</v>
      </c>
      <c r="J6" s="34" t="n">
        <v>0</v>
      </c>
      <c r="K6" s="34" t="n">
        <v>0</v>
      </c>
      <c r="L6" s="34" t="n">
        <v>0</v>
      </c>
      <c r="M6" s="34" t="n">
        <v>0</v>
      </c>
      <c r="N6" s="34" t="n">
        <v>0</v>
      </c>
      <c r="O6" s="34" t="n">
        <v>0</v>
      </c>
      <c r="P6" s="34" t="n">
        <v>0</v>
      </c>
      <c r="Q6" s="21">
        <f>SUM(C6:P6)</f>
        <v/>
      </c>
    </row>
    <row r="7">
      <c r="A7" s="21" t="inlineStr">
        <is>
          <t>PH02</t>
        </is>
      </c>
      <c r="B7" s="21" t="inlineStr">
        <is>
          <t>Bố, khối 3</t>
        </is>
      </c>
      <c r="C7" s="34" t="n">
        <v>0</v>
      </c>
      <c r="D7" s="34" t="n">
        <v>0</v>
      </c>
      <c r="E7" s="34" t="n">
        <v>0</v>
      </c>
      <c r="F7" s="34" t="n">
        <v>0</v>
      </c>
      <c r="G7" s="34" t="n">
        <v>0</v>
      </c>
      <c r="H7" s="34" t="n">
        <v>1</v>
      </c>
      <c r="I7" s="34" t="n">
        <v>1</v>
      </c>
      <c r="J7" s="34" t="n">
        <v>1</v>
      </c>
      <c r="K7" s="34" t="n">
        <v>0</v>
      </c>
      <c r="L7" s="34" t="n">
        <v>0</v>
      </c>
      <c r="M7" s="34" t="n">
        <v>0</v>
      </c>
      <c r="N7" s="34" t="n">
        <v>0</v>
      </c>
      <c r="O7" s="34" t="n">
        <v>0</v>
      </c>
      <c r="P7" s="34" t="n">
        <v>0</v>
      </c>
      <c r="Q7" s="21">
        <f>SUM(C7:P7)</f>
        <v/>
      </c>
    </row>
    <row r="8">
      <c r="A8" s="21" t="inlineStr">
        <is>
          <t>PH03</t>
        </is>
      </c>
      <c r="B8" s="21" t="inlineStr">
        <is>
          <t>Mẹ, khối 5</t>
        </is>
      </c>
      <c r="C8" s="34" t="n">
        <v>0</v>
      </c>
      <c r="D8" s="34" t="n">
        <v>1</v>
      </c>
      <c r="E8" s="34" t="n">
        <v>0</v>
      </c>
      <c r="F8" s="34" t="n">
        <v>1</v>
      </c>
      <c r="G8" s="34" t="n">
        <v>0</v>
      </c>
      <c r="H8" s="34" t="n">
        <v>1</v>
      </c>
      <c r="I8" s="34" t="n">
        <v>0</v>
      </c>
      <c r="J8" s="34" t="n">
        <v>1</v>
      </c>
      <c r="K8" s="34" t="n">
        <v>1</v>
      </c>
      <c r="L8" s="34" t="n">
        <v>1</v>
      </c>
      <c r="M8" s="34" t="n">
        <v>0</v>
      </c>
      <c r="N8" s="34" t="n">
        <v>0</v>
      </c>
      <c r="O8" s="34" t="n">
        <v>0</v>
      </c>
      <c r="P8" s="34" t="n">
        <v>0</v>
      </c>
      <c r="Q8" s="21">
        <f>SUM(C8:P8)</f>
        <v/>
      </c>
    </row>
    <row r="9">
      <c r="A9" s="21" t="inlineStr">
        <is>
          <t>PH04</t>
        </is>
      </c>
      <c r="B9" s="21" t="inlineStr">
        <is>
          <t>Bố, khối 2</t>
        </is>
      </c>
      <c r="C9" s="34" t="n">
        <v>0</v>
      </c>
      <c r="D9" s="34" t="n">
        <v>1</v>
      </c>
      <c r="E9" s="34" t="n">
        <v>1</v>
      </c>
      <c r="F9" s="34" t="n">
        <v>0</v>
      </c>
      <c r="G9" s="34" t="n">
        <v>0</v>
      </c>
      <c r="H9" s="34" t="n">
        <v>0</v>
      </c>
      <c r="I9" s="34" t="n">
        <v>0</v>
      </c>
      <c r="J9" s="34" t="n">
        <v>0</v>
      </c>
      <c r="K9" s="34" t="n">
        <v>1</v>
      </c>
      <c r="L9" s="34" t="n">
        <v>1</v>
      </c>
      <c r="M9" s="34" t="n">
        <v>1</v>
      </c>
      <c r="N9" s="34" t="n">
        <v>0</v>
      </c>
      <c r="O9" s="34" t="n">
        <v>0</v>
      </c>
      <c r="P9" s="34" t="n">
        <v>0</v>
      </c>
      <c r="Q9" s="21">
        <f>SUM(C9:P9)</f>
        <v/>
      </c>
    </row>
    <row r="10">
      <c r="A10" s="21" t="inlineStr">
        <is>
          <t>PH05</t>
        </is>
      </c>
      <c r="B10" s="21" t="inlineStr">
        <is>
          <t>Mẹ, khối 4</t>
        </is>
      </c>
      <c r="C10" s="34" t="n">
        <v>0</v>
      </c>
      <c r="D10" s="34" t="n">
        <v>1</v>
      </c>
      <c r="E10" s="34" t="n">
        <v>1</v>
      </c>
      <c r="F10" s="34" t="n">
        <v>0</v>
      </c>
      <c r="G10" s="34" t="n">
        <v>0</v>
      </c>
      <c r="H10" s="34" t="n">
        <v>1</v>
      </c>
      <c r="I10" s="34" t="n">
        <v>1</v>
      </c>
      <c r="J10" s="34" t="n">
        <v>0</v>
      </c>
      <c r="K10" s="34" t="n">
        <v>0</v>
      </c>
      <c r="L10" s="34" t="n">
        <v>1</v>
      </c>
      <c r="M10" s="34" t="n">
        <v>0</v>
      </c>
      <c r="N10" s="34" t="n">
        <v>1</v>
      </c>
      <c r="O10" s="34" t="n">
        <v>0</v>
      </c>
      <c r="P10" s="34" t="n">
        <v>0</v>
      </c>
      <c r="Q10" s="21">
        <f>SUM(C10:P10)</f>
        <v/>
      </c>
    </row>
    <row r="11">
      <c r="A11" s="21" t="inlineStr">
        <is>
          <t>PH06</t>
        </is>
      </c>
      <c r="B11" s="21" t="inlineStr">
        <is>
          <t>Bà nội, khối 1</t>
        </is>
      </c>
      <c r="C11" s="34" t="n">
        <v>0</v>
      </c>
      <c r="D11" s="34" t="n">
        <v>0</v>
      </c>
      <c r="E11" s="34" t="n">
        <v>0</v>
      </c>
      <c r="F11" s="34" t="n">
        <v>0</v>
      </c>
      <c r="G11" s="34" t="n">
        <v>1</v>
      </c>
      <c r="H11" s="34" t="n">
        <v>0</v>
      </c>
      <c r="I11" s="34" t="n">
        <v>1</v>
      </c>
      <c r="J11" s="34" t="n">
        <v>1</v>
      </c>
      <c r="K11" s="34" t="n">
        <v>1</v>
      </c>
      <c r="L11" s="34" t="n">
        <v>1</v>
      </c>
      <c r="M11" s="34" t="n">
        <v>1</v>
      </c>
      <c r="N11" s="34" t="n">
        <v>0</v>
      </c>
      <c r="O11" s="34" t="n">
        <v>1</v>
      </c>
      <c r="P11" s="34" t="n">
        <v>0</v>
      </c>
      <c r="Q11" s="21">
        <f>SUM(C11:P11)</f>
        <v/>
      </c>
    </row>
    <row r="12">
      <c r="A12" s="21" t="inlineStr">
        <is>
          <t>PH07</t>
        </is>
      </c>
      <c r="B12" s="21" t="inlineStr">
        <is>
          <t>Mẹ, khối 3</t>
        </is>
      </c>
      <c r="C12" s="34" t="n">
        <v>0</v>
      </c>
      <c r="D12" s="34" t="n">
        <v>0</v>
      </c>
      <c r="E12" s="34" t="n">
        <v>1</v>
      </c>
      <c r="F12" s="34" t="n">
        <v>0</v>
      </c>
      <c r="G12" s="34" t="n">
        <v>1</v>
      </c>
      <c r="H12" s="34" t="n">
        <v>0</v>
      </c>
      <c r="I12" s="34" t="n">
        <v>0</v>
      </c>
      <c r="J12" s="34" t="n">
        <v>1</v>
      </c>
      <c r="K12" s="34" t="n">
        <v>1</v>
      </c>
      <c r="L12" s="34" t="n">
        <v>1</v>
      </c>
      <c r="M12" s="34" t="n">
        <v>1</v>
      </c>
      <c r="N12" s="34" t="n">
        <v>1</v>
      </c>
      <c r="O12" s="34" t="n">
        <v>1</v>
      </c>
      <c r="P12" s="34" t="n">
        <v>0</v>
      </c>
      <c r="Q12" s="21">
        <f>SUM(C12:P12)</f>
        <v/>
      </c>
    </row>
    <row r="13">
      <c r="A13" s="21" t="inlineStr">
        <is>
          <t>PH08</t>
        </is>
      </c>
      <c r="B13" s="21" t="inlineStr">
        <is>
          <t>Bố, khối 5</t>
        </is>
      </c>
      <c r="C13" s="34" t="n">
        <v>1</v>
      </c>
      <c r="D13" s="34" t="n">
        <v>1</v>
      </c>
      <c r="E13" s="34" t="n">
        <v>1</v>
      </c>
      <c r="F13" s="34" t="n">
        <v>0</v>
      </c>
      <c r="G13" s="34" t="n">
        <v>1</v>
      </c>
      <c r="H13" s="34" t="n">
        <v>1</v>
      </c>
      <c r="I13" s="34" t="n">
        <v>0</v>
      </c>
      <c r="J13" s="34" t="n">
        <v>1</v>
      </c>
      <c r="K13" s="34" t="n">
        <v>0</v>
      </c>
      <c r="L13" s="34" t="n">
        <v>0</v>
      </c>
      <c r="M13" s="34" t="n">
        <v>0</v>
      </c>
      <c r="N13" s="34" t="n">
        <v>1</v>
      </c>
      <c r="O13" s="34" t="n">
        <v>1</v>
      </c>
      <c r="P13" s="34" t="n">
        <v>1</v>
      </c>
      <c r="Q13" s="21">
        <f>SUM(C13:P13)</f>
        <v/>
      </c>
    </row>
    <row r="14">
      <c r="A14" s="21" t="inlineStr">
        <is>
          <t>PH09</t>
        </is>
      </c>
      <c r="B14" s="21" t="inlineStr">
        <is>
          <t>Mẹ, khối 2</t>
        </is>
      </c>
      <c r="C14" s="34" t="n">
        <v>0</v>
      </c>
      <c r="D14" s="34" t="n">
        <v>0</v>
      </c>
      <c r="E14" s="34" t="n">
        <v>1</v>
      </c>
      <c r="F14" s="34" t="n">
        <v>0</v>
      </c>
      <c r="G14" s="34" t="n">
        <v>1</v>
      </c>
      <c r="H14" s="34" t="n">
        <v>1</v>
      </c>
      <c r="I14" s="34" t="n">
        <v>1</v>
      </c>
      <c r="J14" s="34" t="n">
        <v>1</v>
      </c>
      <c r="K14" s="34" t="n">
        <v>1</v>
      </c>
      <c r="L14" s="34" t="n">
        <v>0</v>
      </c>
      <c r="M14" s="34" t="n">
        <v>0</v>
      </c>
      <c r="N14" s="34" t="n">
        <v>0</v>
      </c>
      <c r="O14" s="34" t="n">
        <v>1</v>
      </c>
      <c r="P14" s="34" t="n">
        <v>1</v>
      </c>
      <c r="Q14" s="21">
        <f>SUM(C14:P14)</f>
        <v/>
      </c>
    </row>
    <row r="15">
      <c r="A15" s="21" t="inlineStr">
        <is>
          <t>PH10</t>
        </is>
      </c>
      <c r="B15" s="21" t="inlineStr">
        <is>
          <t>Bố, khối 4</t>
        </is>
      </c>
      <c r="C15" s="34" t="n">
        <v>0</v>
      </c>
      <c r="D15" s="34" t="n">
        <v>0</v>
      </c>
      <c r="E15" s="34" t="n">
        <v>1</v>
      </c>
      <c r="F15" s="34" t="n">
        <v>1</v>
      </c>
      <c r="G15" s="34" t="n">
        <v>0</v>
      </c>
      <c r="H15" s="34" t="n">
        <v>0</v>
      </c>
      <c r="I15" s="34" t="n">
        <v>1</v>
      </c>
      <c r="J15" s="34" t="n">
        <v>0</v>
      </c>
      <c r="K15" s="34" t="n">
        <v>0</v>
      </c>
      <c r="L15" s="34" t="n">
        <v>1</v>
      </c>
      <c r="M15" s="34" t="n">
        <v>1</v>
      </c>
      <c r="N15" s="34" t="n">
        <v>1</v>
      </c>
      <c r="O15" s="34" t="n">
        <v>0</v>
      </c>
      <c r="P15" s="34" t="n">
        <v>0</v>
      </c>
      <c r="Q15" s="21">
        <f>SUM(C15:P15)</f>
        <v/>
      </c>
    </row>
    <row r="16">
      <c r="A16" s="21" t="n"/>
      <c r="B16" s="21" t="n"/>
      <c r="C16" s="21" t="n"/>
      <c r="D16" s="21" t="n"/>
      <c r="E16" s="21" t="n"/>
      <c r="F16" s="21" t="n"/>
      <c r="G16" s="21" t="n"/>
      <c r="H16" s="21" t="n"/>
      <c r="I16" s="21" t="n"/>
      <c r="J16" s="21" t="n"/>
      <c r="K16" s="21" t="n"/>
      <c r="L16" s="21" t="n"/>
      <c r="M16" s="21" t="n"/>
      <c r="N16" s="21" t="n"/>
      <c r="O16" s="21" t="n"/>
      <c r="P16" s="21" t="n"/>
      <c r="Q16" s="21" t="n"/>
    </row>
    <row r="17">
      <c r="A17" s="21" t="n"/>
      <c r="B17" s="35" t="inlineStr">
        <is>
          <t>Số người nhắc</t>
        </is>
      </c>
      <c r="C17" s="36">
        <f>SUM(C6:C15)</f>
        <v/>
      </c>
      <c r="D17" s="36">
        <f>SUM(D6:D15)</f>
        <v/>
      </c>
      <c r="E17" s="36">
        <f>SUM(E6:E15)</f>
        <v/>
      </c>
      <c r="F17" s="36">
        <f>SUM(F6:F15)</f>
        <v/>
      </c>
      <c r="G17" s="36">
        <f>SUM(G6:G15)</f>
        <v/>
      </c>
      <c r="H17" s="36">
        <f>SUM(H6:H15)</f>
        <v/>
      </c>
      <c r="I17" s="36">
        <f>SUM(I6:I15)</f>
        <v/>
      </c>
      <c r="J17" s="36">
        <f>SUM(J6:J15)</f>
        <v/>
      </c>
      <c r="K17" s="36">
        <f>SUM(K6:K15)</f>
        <v/>
      </c>
      <c r="L17" s="36">
        <f>SUM(L6:L15)</f>
        <v/>
      </c>
      <c r="M17" s="36">
        <f>SUM(M6:M15)</f>
        <v/>
      </c>
      <c r="N17" s="36">
        <f>SUM(N6:N15)</f>
        <v/>
      </c>
      <c r="O17" s="36">
        <f>SUM(O6:O15)</f>
        <v/>
      </c>
      <c r="P17" s="36">
        <f>SUM(P6:P15)</f>
        <v/>
      </c>
      <c r="Q17" s="21" t="n"/>
    </row>
    <row r="18">
      <c r="A18" s="21" t="n"/>
      <c r="B18" s="35" t="inlineStr">
        <is>
          <t>Tỷ lệ người nhắc</t>
        </is>
      </c>
      <c r="C18" s="37">
        <f>SUM(C6:C15)/10</f>
        <v/>
      </c>
      <c r="D18" s="37">
        <f>SUM(D6:D15)/10</f>
        <v/>
      </c>
      <c r="E18" s="37">
        <f>SUM(E6:E15)/10</f>
        <v/>
      </c>
      <c r="F18" s="37">
        <f>SUM(F6:F15)/10</f>
        <v/>
      </c>
      <c r="G18" s="37">
        <f>SUM(G6:G15)/10</f>
        <v/>
      </c>
      <c r="H18" s="37">
        <f>SUM(H6:H15)/10</f>
        <v/>
      </c>
      <c r="I18" s="37">
        <f>SUM(I6:I15)/10</f>
        <v/>
      </c>
      <c r="J18" s="37">
        <f>SUM(J6:J15)/10</f>
        <v/>
      </c>
      <c r="K18" s="37">
        <f>SUM(K6:K15)/10</f>
        <v/>
      </c>
      <c r="L18" s="37">
        <f>SUM(L6:L15)/10</f>
        <v/>
      </c>
      <c r="M18" s="37">
        <f>SUM(M6:M15)/10</f>
        <v/>
      </c>
      <c r="N18" s="37">
        <f>SUM(N6:N15)/10</f>
        <v/>
      </c>
      <c r="O18" s="37">
        <f>SUM(O6:O15)/10</f>
        <v/>
      </c>
      <c r="P18" s="37">
        <f>SUM(P6:P15)/10</f>
        <v/>
      </c>
      <c r="Q18" s="21" t="n"/>
    </row>
    <row r="19">
      <c r="A19" s="21" t="n"/>
      <c r="B19" s="35" t="inlineStr">
        <is>
          <t>Buổi xuất hiện đầu tiên</t>
        </is>
      </c>
      <c r="C19" s="36">
        <f>MATCH(1,C6:C15,0)</f>
        <v/>
      </c>
      <c r="D19" s="36">
        <f>MATCH(1,D6:D15,0)</f>
        <v/>
      </c>
      <c r="E19" s="36">
        <f>MATCH(1,E6:E15,0)</f>
        <v/>
      </c>
      <c r="F19" s="36">
        <f>MATCH(1,F6:F15,0)</f>
        <v/>
      </c>
      <c r="G19" s="36">
        <f>MATCH(1,G6:G15,0)</f>
        <v/>
      </c>
      <c r="H19" s="36">
        <f>MATCH(1,H6:H15,0)</f>
        <v/>
      </c>
      <c r="I19" s="36">
        <f>MATCH(1,I6:I15,0)</f>
        <v/>
      </c>
      <c r="J19" s="36">
        <f>MATCH(1,J6:J15,0)</f>
        <v/>
      </c>
      <c r="K19" s="36">
        <f>MATCH(1,K6:K15,0)</f>
        <v/>
      </c>
      <c r="L19" s="36">
        <f>MATCH(1,L6:L15,0)</f>
        <v/>
      </c>
      <c r="M19" s="36">
        <f>MATCH(1,M6:M15,0)</f>
        <v/>
      </c>
      <c r="N19" s="36">
        <f>MATCH(1,N6:N15,0)</f>
        <v/>
      </c>
      <c r="O19" s="36">
        <f>MATCH(1,O6:O15,0)</f>
        <v/>
      </c>
      <c r="P19" s="36">
        <f>MATCH(1,P6:P15,0)</f>
        <v/>
      </c>
      <c r="Q19" s="21" t="n"/>
    </row>
    <row r="21">
      <c r="A21" s="11" t="inlineStr">
        <is>
          <t>Gom mã thành chủ đề</t>
        </is>
      </c>
    </row>
    <row r="22">
      <c r="A22" s="5" t="inlineStr">
        <is>
          <t>Chủ đề</t>
        </is>
      </c>
      <c r="B22" s="5" t="inlineStr">
        <is>
          <t>Tên</t>
        </is>
      </c>
      <c r="C22" s="5" t="inlineStr">
        <is>
          <t>Số mã mở</t>
        </is>
      </c>
      <c r="D22" s="5" t="inlineStr">
        <is>
          <t>Số người nhắc ít nhất 1 mã</t>
        </is>
      </c>
      <c r="E22" s="5" t="inlineStr">
        <is>
          <t>Biến định lượng liên quan</t>
        </is>
      </c>
      <c r="F22" s="5" t="inlineStr">
        <is>
          <t>Loại mã (Trần Phước, n.d., tr. 59 đến 60)</t>
        </is>
      </c>
    </row>
    <row r="23">
      <c r="A23" s="6" t="inlineStr">
        <is>
          <t>TG</t>
        </is>
      </c>
      <c r="B23" s="6" t="inlineStr">
        <is>
          <t>Thời gian chờ đợi</t>
        </is>
      </c>
      <c r="C23" s="6" t="n">
        <v>2</v>
      </c>
      <c r="D23" s="17">
        <f>SUMPRODUCT(--((C6:C15+H6:H15)&gt;0))</f>
        <v/>
      </c>
      <c r="E23" s="6" t="inlineStr">
        <is>
          <t>QTHC</t>
        </is>
      </c>
      <c r="F23" s="6" t="inlineStr">
        <is>
          <t>Mã dự kiến</t>
        </is>
      </c>
    </row>
    <row r="24">
      <c r="A24" s="6" t="inlineStr">
        <is>
          <t>TT</t>
        </is>
      </c>
      <c r="B24" s="6" t="inlineStr">
        <is>
          <t>Thủ tục giấy tờ</t>
        </is>
      </c>
      <c r="C24" s="6" t="n">
        <v>3</v>
      </c>
      <c r="D24" s="17">
        <f>SUMPRODUCT(--((D6:D15+G6:G15+L6:L15)&gt;0))</f>
        <v/>
      </c>
      <c r="E24" s="6" t="inlineStr">
        <is>
          <t>QTHC</t>
        </is>
      </c>
      <c r="F24" s="6" t="inlineStr">
        <is>
          <t>Mã dự kiến</t>
        </is>
      </c>
    </row>
    <row r="25">
      <c r="A25" s="6" t="inlineStr">
        <is>
          <t>TD</t>
        </is>
      </c>
      <c r="B25" s="6" t="inlineStr">
        <is>
          <t>Thái độ nhân viên</t>
        </is>
      </c>
      <c r="C25" s="6" t="n">
        <v>3</v>
      </c>
      <c r="D25" s="17">
        <f>SUMPRODUCT(--((E6:E15+I6:I15+N6:N15)&gt;0))</f>
        <v/>
      </c>
      <c r="E25" s="6" t="inlineStr">
        <is>
          <t>TDNV</t>
        </is>
      </c>
      <c r="F25" s="6" t="inlineStr">
        <is>
          <t>Mã dự kiến</t>
        </is>
      </c>
    </row>
    <row r="26">
      <c r="A26" s="6" t="inlineStr">
        <is>
          <t>CS</t>
        </is>
      </c>
      <c r="B26" s="6" t="inlineStr">
        <is>
          <t>Cơ sở vật chất</t>
        </is>
      </c>
      <c r="C26" s="6" t="n">
        <v>1</v>
      </c>
      <c r="D26" s="17">
        <f>SUMPRODUCT(--((K6:K15)&gt;0))</f>
        <v/>
      </c>
      <c r="E26" s="6" t="inlineStr">
        <is>
          <t>CSVC</t>
        </is>
      </c>
      <c r="F26" s="6" t="inlineStr">
        <is>
          <t>Mã dự kiến</t>
        </is>
      </c>
    </row>
    <row r="27">
      <c r="A27" s="6" t="inlineStr">
        <is>
          <t>TB</t>
        </is>
      </c>
      <c r="B27" s="6" t="inlineStr">
        <is>
          <t>Thông tin và thông báo</t>
        </is>
      </c>
      <c r="C27" s="6" t="n">
        <v>3</v>
      </c>
      <c r="D27" s="17">
        <f>SUMPRODUCT(--((F6:F15+J6:J15+O6:O15)&gt;0))</f>
        <v/>
      </c>
      <c r="E27" s="6" t="inlineStr">
        <is>
          <t>Chưa có trong mô hình</t>
        </is>
      </c>
      <c r="F27" s="6" t="inlineStr">
        <is>
          <t>Mã bất ngờ</t>
        </is>
      </c>
    </row>
    <row r="28">
      <c r="A28" s="6" t="inlineStr">
        <is>
          <t>SO</t>
        </is>
      </c>
      <c r="B28" s="6" t="inlineStr">
        <is>
          <t>Mong muốn số hóa thủ tục</t>
        </is>
      </c>
      <c r="C28" s="6" t="n">
        <v>2</v>
      </c>
      <c r="D28" s="17">
        <f>SUMPRODUCT(--((M6:M15+P6:P15)&gt;0))</f>
        <v/>
      </c>
      <c r="E28" s="6" t="inlineStr">
        <is>
          <t>Chưa có trong mô hình</t>
        </is>
      </c>
      <c r="F28" s="6" t="inlineStr">
        <is>
          <t>Mã bất ngờ</t>
        </is>
      </c>
    </row>
    <row r="30" ht="35" customHeight="1">
      <c r="A30" s="4" t="inlineStr">
        <is>
          <t>Cách đọc: hai chủ đề TB và SO không có thang đo trong bảng hỏi của Trường Y. Đây là chỗ dữ liệu định tính gợi ý mở rộng mô hình: một hướng điểm mới ở mức thạc sĩ (xem sheet 12).</t>
        </is>
      </c>
    </row>
  </sheetData>
  <mergeCells count="2">
    <mergeCell ref="A2:Q2"/>
    <mergeCell ref="A30:Q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min="1" max="1"/>
    <col width="40" customWidth="1" min="2" max="2"/>
    <col width="46" customWidth="1" min="3" max="3"/>
    <col width="30" customWidth="1" min="4" max="4"/>
    <col width="12" customWidth="1" min="5" max="5"/>
  </cols>
  <sheetData>
    <row r="1">
      <c r="A1" s="3" t="inlineStr">
        <is>
          <t>BỐN MỨC ĐIỂM MỚI VÀ SÁU ĐIỂM NÂNG CHẤT LƯỢNG (Bảng BS3 của sách)</t>
        </is>
      </c>
    </row>
    <row r="2">
      <c r="A2" s="5" t="inlineStr">
        <is>
          <t>Mức điểm mới</t>
        </is>
      </c>
      <c r="B2" s="5" t="inlineStr">
        <is>
          <t>Câu hỏi kiểm tra</t>
        </is>
      </c>
      <c r="C2" s="5" t="inlineStr">
        <is>
          <t>Ví dụ Ngân hàng X hoặc Trường Y</t>
        </is>
      </c>
      <c r="D2" s="5" t="inlineStr">
        <is>
          <t>Phù hợp với</t>
        </is>
      </c>
      <c r="E2" s="5" t="inlineStr"/>
    </row>
    <row r="3">
      <c r="A3" s="6" t="inlineStr">
        <is>
          <t>1. Bối cảnh mới</t>
        </is>
      </c>
      <c r="B3" s="6" t="inlineStr">
        <is>
          <t>Bối cảnh này có lý do gì để làm quan hệ giữa các biến khác đi không? (Whetten, 1989)</t>
        </is>
      </c>
      <c r="C3" s="6" t="inlineStr">
        <is>
          <t>Khách hàng ngoài thành phố lớn: thu nhập, thói quen tiền mặt khác (sheet 2: chỉ 1 nghiên cứu)</t>
        </is>
      </c>
      <c r="D3" s="6" t="inlineStr">
        <is>
          <t>Khóa luận đại học</t>
        </is>
      </c>
      <c r="E3" s="6" t="inlineStr"/>
    </row>
    <row r="4">
      <c r="A4" s="6" t="inlineStr">
        <is>
          <t>2. Giải quyết kết quả trái chiều</t>
        </is>
      </c>
      <c r="B4" s="6" t="inlineStr">
        <is>
          <t>Có ít nhất hai nhóm nghiên cứu cho kết quả ngược nhau không?</t>
        </is>
      </c>
      <c r="C4" s="6" t="inlineStr">
        <is>
          <t>SD: 7 nghiên cứu có ý nghĩa, 4 không (sheet 2); đề tài kiểm định lại và giải thích</t>
        </is>
      </c>
      <c r="D4" s="6" t="inlineStr">
        <is>
          <t>Khóa luận khá giỏi; gần chuẩn thạc sĩ</t>
        </is>
      </c>
      <c r="E4" s="6" t="inlineStr"/>
    </row>
    <row r="5">
      <c r="A5" s="6" t="inlineStr">
        <is>
          <t>3. Mở rộng mô hình có căn cứ</t>
        </is>
      </c>
      <c r="B5" s="6" t="inlineStr">
        <is>
          <t>Biến mới có lý thuyết gốc hoặc bằng chứng định tính không?</t>
        </is>
      </c>
      <c r="C5" s="6" t="inlineStr">
        <is>
          <t>Trường Y: chủ đề TB và SO từ 10 buổi phỏng vấn (sheet 11)</t>
        </is>
      </c>
      <c r="D5" s="6" t="inlineStr">
        <is>
          <t>Luận văn thạc sĩ</t>
        </is>
      </c>
      <c r="E5" s="6" t="inlineStr"/>
    </row>
    <row r="6">
      <c r="A6" s="6" t="inlineStr">
        <is>
          <t>4. Thách thức giả định</t>
        </is>
      </c>
      <c r="B6" s="6" t="inlineStr">
        <is>
          <t>Đề tài có đặt câu hỏi về một giả định mà các nghiên cứu trước coi là đúng không? (Sandberg và Alvesson, 2011)</t>
        </is>
      </c>
      <c r="C6" s="6" t="inlineStr">
        <is>
          <t>Ví dụ: giả định "dễ dùng luôn làm tăng ý định" có còn đúng khi ứng dụng đã quen thuộc?</t>
        </is>
      </c>
      <c r="D6" s="6" t="inlineStr">
        <is>
          <t>Nghiên cứu sinh, bài báo</t>
        </is>
      </c>
      <c r="E6" s="6" t="inlineStr"/>
    </row>
    <row r="8">
      <c r="A8" s="11" t="inlineStr">
        <is>
          <t>Tự chấm sáu điểm nâng chất lượng (gõ Có hoặc Không vào cột E)</t>
        </is>
      </c>
    </row>
    <row r="9">
      <c r="A9" s="5" t="inlineStr">
        <is>
          <t>Hạng mục</t>
        </is>
      </c>
      <c r="B9" s="5" t="inlineStr">
        <is>
          <t>Mức đạt của khóa luận</t>
        </is>
      </c>
      <c r="C9" s="5" t="inlineStr">
        <is>
          <t>Mức chất lượng thạc sĩ</t>
        </is>
      </c>
      <c r="D9" s="5" t="inlineStr">
        <is>
          <t>Bằng chứng trong file này</t>
        </is>
      </c>
      <c r="E9" s="5" t="inlineStr">
        <is>
          <t>Đã làm?</t>
        </is>
      </c>
    </row>
    <row r="10">
      <c r="A10" s="6" t="inlineStr">
        <is>
          <t>Khoảng trống</t>
        </is>
      </c>
      <c r="B10" s="6" t="inlineStr">
        <is>
          <t>Có trích dẫn, giới hạn phạm vi tìm kiếm</t>
        </is>
      </c>
      <c r="C10" s="6" t="inlineStr">
        <is>
          <t>Có nhật ký tìm kiếm và bảng đếm khoảng trống</t>
        </is>
      </c>
      <c r="D10" s="6" t="inlineStr">
        <is>
          <t>Sheet 1 và 2</t>
        </is>
      </c>
      <c r="E10" s="7" t="inlineStr">
        <is>
          <t>Có</t>
        </is>
      </c>
    </row>
    <row r="11">
      <c r="A11" s="6" t="inlineStr">
        <is>
          <t>Thang đo</t>
        </is>
      </c>
      <c r="B11" s="6" t="inlineStr">
        <is>
          <t>Kế thừa thang đo đã công bố</t>
        </is>
      </c>
      <c r="C11" s="6" t="inlineStr">
        <is>
          <t>Thêm phỏng vấn 5 đến 8 người để điều chỉnh câu chữ; có bảng câu gốc và câu điều chỉnh</t>
        </is>
      </c>
      <c r="D11" s="6" t="inlineStr">
        <is>
          <t>Sheet 10 và 11</t>
        </is>
      </c>
      <c r="E11" s="7" t="inlineStr">
        <is>
          <t>Không</t>
        </is>
      </c>
    </row>
    <row r="12">
      <c r="A12" s="6" t="inlineStr">
        <is>
          <t>Kế hoạch mẫu</t>
        </is>
      </c>
      <c r="B12" s="6" t="inlineStr">
        <is>
          <t>Có cỡ mẫu tối thiểu</t>
        </is>
      </c>
      <c r="C12" s="6" t="inlineStr">
        <is>
          <t>Có số cần mời tính từ tỷ lệ phản hồi dự kiến và lịch tiếp xúc</t>
        </is>
      </c>
      <c r="D12" s="6" t="inlineStr">
        <is>
          <t>Sheet 4 và 5</t>
        </is>
      </c>
      <c r="E12" s="7" t="inlineStr">
        <is>
          <t>Có</t>
        </is>
      </c>
    </row>
    <row r="13">
      <c r="A13" s="6" t="inlineStr">
        <is>
          <t>Chất lượng phiếu</t>
        </is>
      </c>
      <c r="B13" s="6" t="inlineStr">
        <is>
          <t>Loại phiếu trùng và phiếu trống</t>
        </is>
      </c>
      <c r="C13" s="6" t="inlineStr">
        <is>
          <t>Thêm câu kiểm tra sự chú ý, kiểm tra trả lời một đường thẳng, nhóm sớm và muộn, sai lệch phương pháp chung</t>
        </is>
      </c>
      <c r="D13" s="6" t="inlineStr">
        <is>
          <t>Sheet 6, 8, 9</t>
        </is>
      </c>
      <c r="E13" s="7" t="inlineStr">
        <is>
          <t>Có</t>
        </is>
      </c>
    </row>
    <row r="14">
      <c r="A14" s="6" t="inlineStr">
        <is>
          <t>Phân tích</t>
        </is>
      </c>
      <c r="B14" s="6" t="inlineStr">
        <is>
          <t>Alpha và hồi quy</t>
        </is>
      </c>
      <c r="C14" s="6" t="inlineStr">
        <is>
          <t>Thêm EFA (mục 3.6.3) hoặc đánh giá mô hình đo lường nếu dùng SmartPLS</t>
        </is>
      </c>
      <c r="D14" s="6" t="inlineStr">
        <is>
          <t>File 3</t>
        </is>
      </c>
      <c r="E14" s="7" t="inlineStr">
        <is>
          <t>Không</t>
        </is>
      </c>
    </row>
    <row r="15">
      <c r="A15" s="6" t="inlineStr">
        <is>
          <t>Thảo luận</t>
        </is>
      </c>
      <c r="B15" s="6" t="inlineStr">
        <is>
          <t>So sánh với nghiên cứu trước</t>
        </is>
      </c>
      <c r="C15" s="6" t="inlineStr">
        <is>
          <t>Dùng trích lời phỏng vấn để giải thích kết quả bất ngờ, ví dụ SD không có ý nghĩa</t>
        </is>
      </c>
      <c r="D15" s="6" t="inlineStr">
        <is>
          <t>Sheet 11</t>
        </is>
      </c>
      <c r="E15" s="7" t="inlineStr">
        <is>
          <t>Không</t>
        </is>
      </c>
    </row>
    <row r="16">
      <c r="C16" s="8" t="inlineStr">
        <is>
          <t>Số hạng mục đạt mức thạc sĩ</t>
        </is>
      </c>
      <c r="E16" s="38">
        <f>COUNTIF(E10:E15,"Có")</f>
        <v/>
      </c>
    </row>
    <row r="18" ht="35" customHeight="1">
      <c r="A18" s="4" t="inlineStr">
        <is>
          <t>Gợi ý của tác giả sách: bảng này không phải tiêu chí chấm chính thức. Ba hạng mục đầu tốn thêm khoảng 2 đến 3 ngày và có thể làm trong khung tám tuần.</t>
        </is>
      </c>
    </row>
  </sheetData>
  <mergeCells count="1">
    <mergeCell ref="A18:E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6" customWidth="1" min="1" max="1"/>
    <col width="46" customWidth="1" min="2" max="2"/>
    <col width="40" customWidth="1" min="3" max="3"/>
    <col width="34" customWidth="1" min="4" max="4"/>
    <col width="40" customWidth="1" min="5" max="5"/>
  </cols>
  <sheetData>
    <row r="1">
      <c r="A1" s="3" t="inlineStr">
        <is>
          <t>GIẢI THÍCH CÁC CÔNG THỨC TRONG FILE (dữ liệu giả định, không phải số liệu thật)</t>
        </is>
      </c>
    </row>
    <row r="2">
      <c r="A2" s="5" t="inlineStr">
        <is>
          <t>Sheet và ô</t>
        </is>
      </c>
      <c r="B2" s="5" t="inlineStr">
        <is>
          <t>Công thức</t>
        </is>
      </c>
      <c r="C2" s="5" t="inlineStr">
        <is>
          <t>Công thức làm gì</t>
        </is>
      </c>
      <c r="D2" s="5" t="inlineStr">
        <is>
          <t>Vì sao dùng</t>
        </is>
      </c>
      <c r="E2" s="5" t="inlineStr">
        <is>
          <t>Cách đọc kết quả</t>
        </is>
      </c>
    </row>
    <row r="3">
      <c r="A3" s="6" t="inlineStr">
        <is>
          <t>2_MaTranTaiLieu, bảng đếm</t>
        </is>
      </c>
      <c r="B3" s="6" t="inlineStr">
        <is>
          <t>=COUNTIFS(cột HI,1,cột NT,1,cột XH,1)</t>
        </is>
      </c>
      <c r="C3" s="6" t="inlineStr">
        <is>
          <t>Đếm nghiên cứu thỏa đồng thời nhiều điều kiện</t>
        </is>
      </c>
      <c r="D3" s="6" t="inlineStr">
        <is>
          <t>Biến câu "chưa có nghiên cứu nào" thành con số kiểm tra được</t>
        </is>
      </c>
      <c r="E3" s="6" t="inlineStr">
        <is>
          <t>Bằng 8: tổ hợp biến này đã được nghiên cứu nhiều</t>
        </is>
      </c>
    </row>
    <row r="4">
      <c r="A4" s="6" t="inlineStr">
        <is>
          <t>4_KeHoachMau, số cần mời</t>
        </is>
      </c>
      <c r="B4" s="6" t="inlineStr">
        <is>
          <t>=ROUNDUP(mục tiêu/(tỷ lệ phản hồi*tỷ lệ hợp lệ),0)</t>
        </is>
      </c>
      <c r="C4" s="6" t="inlineStr">
        <is>
          <t>Tính ngược từ số phiếu hợp lệ cần có ra số người phải mời</t>
        </is>
      </c>
      <c r="D4" s="6" t="inlineStr">
        <is>
          <t>Lập kế hoạch trước khi phát phiếu</t>
        </is>
      </c>
      <c r="E4" s="6" t="inlineStr">
        <is>
          <t>150/(0,80*0,94) = 200 người</t>
        </is>
      </c>
    </row>
    <row r="5">
      <c r="A5" s="6" t="inlineStr">
        <is>
          <t>6_DuLieuThoGanCo, cột Z</t>
        </is>
      </c>
      <c r="B5" s="6" t="inlineStr">
        <is>
          <t>=IF(Y2&lt;DATE(2025,3,6),1,IF(Y2&lt;DATE(2025,3,13),2,3))</t>
        </is>
      </c>
      <c r="C5" s="6" t="inlineStr">
        <is>
          <t>Gán đợt trả lời theo ngày nhắc lại</t>
        </is>
      </c>
      <c r="D5" s="6" t="inlineStr">
        <is>
          <t>Chia nhóm sớm và nhóm muộn</t>
        </is>
      </c>
      <c r="E5" s="6" t="inlineStr">
        <is>
          <t>1 = trước nhắc lần 1; 3 = sau nhắc lần 2</t>
        </is>
      </c>
    </row>
    <row r="6">
      <c r="A6" s="6" t="inlineStr">
        <is>
          <t>6_DuLieuThoGanCo, cột AA</t>
        </is>
      </c>
      <c r="B6" s="6" t="inlineStr">
        <is>
          <t>=COUNTBLANK(B2:X2)</t>
        </is>
      </c>
      <c r="C6" s="6" t="inlineStr">
        <is>
          <t>Đếm số ô trống của một phiếu</t>
        </is>
      </c>
      <c r="D6" s="6" t="inlineStr">
        <is>
          <t>Áp quy tắc loại phiếu bỏ trống từ 8 ô</t>
        </is>
      </c>
      <c r="E6" s="6" t="inlineStr">
        <is>
          <t>Từ 8 trở lên: loại</t>
        </is>
      </c>
    </row>
    <row r="7">
      <c r="A7" s="6" t="inlineStr">
        <is>
          <t>6_DuLieuThoGanCo, cột AC</t>
        </is>
      </c>
      <c r="B7" s="6" t="inlineStr">
        <is>
          <t>=IF(COUNTIF($AB$2:AB2,AB2)&gt;1,1,0)</t>
        </is>
      </c>
      <c r="C7" s="6" t="inlineStr">
        <is>
          <t>Đánh dấu phiếu có nội dung trùng một phiếu phía trên</t>
        </is>
      </c>
      <c r="D7" s="6" t="inlineStr">
        <is>
          <t>Giữ lần gửi đầu, loại lần gửi sau</t>
        </is>
      </c>
      <c r="E7" s="6" t="inlineStr">
        <is>
          <t>1 = trùng</t>
        </is>
      </c>
    </row>
    <row r="8">
      <c r="A8" s="6" t="inlineStr">
        <is>
          <t>6_DuLieuThoGanCo, cột AD</t>
        </is>
      </c>
      <c r="B8" s="6" t="inlineStr">
        <is>
          <t>=STDEV(F2:X2)</t>
        </is>
      </c>
      <c r="C8" s="6" t="inlineStr">
        <is>
          <t>Độ lệch chuẩn của 19 câu trả lời trong một phiếu</t>
        </is>
      </c>
      <c r="D8" s="6" t="inlineStr">
        <is>
          <t>Phát hiện phiếu chọn cùng một mức</t>
        </is>
      </c>
      <c r="E8" s="6" t="inlineStr">
        <is>
          <t>Bằng 0: trả lời một đường thẳng</t>
        </is>
      </c>
    </row>
    <row r="9">
      <c r="A9" s="6" t="inlineStr">
        <is>
          <t>7_NhatKyThuThap, cột F</t>
        </is>
      </c>
      <c r="B9" s="6" t="inlineStr">
        <is>
          <t>=COUNTIF('6_DuLieuThoGanCo'!Y:Y,ngày)</t>
        </is>
      </c>
      <c r="C9" s="6" t="inlineStr">
        <is>
          <t>Đếm số phiếu nhận trong ngày từ dấu thời gian</t>
        </is>
      </c>
      <c r="D9" s="6" t="inlineStr">
        <is>
          <t>Nhật ký khớp tuyệt đối với file dữ liệu</t>
        </is>
      </c>
      <c r="E9" s="6" t="inlineStr">
        <is>
          <t>Tổng bằng 165</t>
        </is>
      </c>
    </row>
    <row r="10">
      <c r="A10" s="6" t="inlineStr">
        <is>
          <t>8_SomMuon, cột E</t>
        </is>
      </c>
      <c r="B10" s="6" t="inlineStr">
        <is>
          <t>=T.TEST(nhóm sớm,nhóm muộn,2,3)</t>
        </is>
      </c>
      <c r="C10" s="6" t="inlineStr">
        <is>
          <t>Kiểm định t hai phía, hai mẫu độc lập, phương sai khác nhau</t>
        </is>
      </c>
      <c r="D10" s="6" t="inlineStr">
        <is>
          <t>So sánh người trả lời sớm và muộn</t>
        </is>
      </c>
      <c r="E10" s="6" t="inlineStr">
        <is>
          <t>Lớn hơn 0,05: không khác biệt</t>
        </is>
      </c>
    </row>
    <row r="11">
      <c r="A11" s="6" t="inlineStr">
        <is>
          <t>10_PhongVanBaoHoa, cột F</t>
        </is>
      </c>
      <c r="B11" s="6" t="inlineStr">
        <is>
          <t>=COUNTIF('11_MaHoaPhongVan'!C19:P19,số buổi)</t>
        </is>
      </c>
      <c r="C11" s="6" t="inlineStr">
        <is>
          <t>Đếm số mã có buổi xuất hiện đầu tiên bằng buổi này</t>
        </is>
      </c>
      <c r="D11" s="6" t="inlineStr">
        <is>
          <t>Biết khi nào dữ liệu bão hòa</t>
        </is>
      </c>
      <c r="E11" s="6" t="inlineStr">
        <is>
          <t>Hai buổi liên tiếp bằng 0: dừng</t>
        </is>
      </c>
    </row>
    <row r="12">
      <c r="A12" s="6" t="inlineStr">
        <is>
          <t>11_MaHoaPhongVan, dòng 19</t>
        </is>
      </c>
      <c r="B12" s="6" t="inlineStr">
        <is>
          <t>=MATCH(1,C6:C15,0)</t>
        </is>
      </c>
      <c r="C12" s="6" t="inlineStr">
        <is>
          <t>Tìm buổi đầu tiên có giá trị 1 trong cột mã</t>
        </is>
      </c>
      <c r="D12" s="6" t="inlineStr">
        <is>
          <t>Không phải tự đếm bằng tay</t>
        </is>
      </c>
      <c r="E12" s="6" t="inlineStr">
        <is>
          <t>Số thứ tự buổi</t>
        </is>
      </c>
    </row>
    <row r="13">
      <c r="A13" s="6" t="inlineStr">
        <is>
          <t>11_MaHoaPhongVan, bảng chủ đề</t>
        </is>
      </c>
      <c r="B13" s="6" t="inlineStr">
        <is>
          <t>=SUMPRODUCT(--((cột mã 1+cột mã 2)&gt;0))</t>
        </is>
      </c>
      <c r="C13" s="6" t="inlineStr">
        <is>
          <t>Đếm số người nhắc ít nhất một mã của chủ đề</t>
        </is>
      </c>
      <c r="D13" s="6" t="inlineStr">
        <is>
          <t>Một người nhắc hai mã cùng chủ đề chỉ tính một lần</t>
        </is>
      </c>
      <c r="E13" s="6" t="inlineStr">
        <is>
          <t>Số người trên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2026-10-03T05:06:07Z</dcterms:created>
  <dcterms:modified xmlns:dcterms="http://purl.org/dc/terms/" xmlns:xsi="http://www.w3.org/2001/XMLSchema-instance" xsi:type="dcterms:W3CDTF">2026-10-03T05:06:08Z</dcterms:modified>
</cp:coreProperties>
</file>